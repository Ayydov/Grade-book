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8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9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0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11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1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1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16380" windowHeight="8190" tabRatio="939" activeTab="9"/>
  </bookViews>
  <sheets>
    <sheet name="Info" sheetId="1" r:id="rId1"/>
    <sheet name="Turkmen Language" sheetId="2" r:id="rId2"/>
    <sheet name="Turkmen Language2" sheetId="9" state="hidden" r:id="rId3"/>
    <sheet name="Literature" sheetId="3" r:id="rId4"/>
    <sheet name="Literature2" sheetId="18" state="hidden" r:id="rId5"/>
    <sheet name="Algebra" sheetId="5" r:id="rId6"/>
    <sheet name="Algebra (2)" sheetId="20" state="hidden" r:id="rId7"/>
    <sheet name="English" sheetId="4" r:id="rId8"/>
    <sheet name="English (2)" sheetId="19" state="hidden" r:id="rId9"/>
    <sheet name="Geometry" sheetId="6" r:id="rId10"/>
    <sheet name="Geometry (2)" sheetId="21" state="hidden" r:id="rId11"/>
    <sheet name="Biology" sheetId="7" r:id="rId12"/>
    <sheet name="Biology (2)" sheetId="22" state="hidden" r:id="rId13"/>
    <sheet name="Physics" sheetId="10" r:id="rId14"/>
    <sheet name="Physics (2)" sheetId="23" state="hidden" r:id="rId15"/>
    <sheet name="Chemistry" sheetId="11" r:id="rId16"/>
    <sheet name="Chemistry  (2)" sheetId="24" state="hidden" r:id="rId17"/>
    <sheet name="History 1" sheetId="12" r:id="rId18"/>
    <sheet name="History (2)" sheetId="25" state="hidden" r:id="rId19"/>
    <sheet name="Russian" sheetId="13" r:id="rId20"/>
    <sheet name="Russian (2)" sheetId="26" state="hidden" r:id="rId21"/>
    <sheet name="Computer" sheetId="14" r:id="rId22"/>
    <sheet name="Computer (2)" sheetId="27" state="hidden" r:id="rId23"/>
    <sheet name="ÝDE (2)" sheetId="28" state="hidden" r:id="rId24"/>
    <sheet name="PE" sheetId="16" r:id="rId25"/>
    <sheet name="PE (2)" sheetId="29" state="hidden" r:id="rId26"/>
    <sheet name="Zähmet (2)" sheetId="30" state="hidden" r:id="rId27"/>
    <sheet name="Çyzuw (2)" sheetId="34" state="hidden" r:id="rId28"/>
    <sheet name="Results" sheetId="8" r:id="rId29"/>
    <sheet name="Sheet1" sheetId="31" r:id="rId30"/>
  </sheets>
  <externalReferences>
    <externalReference r:id="rId31"/>
  </externalReferences>
  <calcPr calcId="144525"/>
</workbook>
</file>

<file path=xl/calcChain.xml><?xml version="1.0" encoding="utf-8"?>
<calcChain xmlns="http://schemas.openxmlformats.org/spreadsheetml/2006/main">
  <c r="AC45" i="21" l="1"/>
  <c r="AD45" i="21" s="1"/>
  <c r="AB45" i="21"/>
  <c r="B45" i="21"/>
  <c r="AC44" i="21"/>
  <c r="AD44" i="21" s="1"/>
  <c r="AB44" i="21"/>
  <c r="B44" i="21"/>
  <c r="AC43" i="21"/>
  <c r="AD43" i="21" s="1"/>
  <c r="AB43" i="21"/>
  <c r="B43" i="21"/>
  <c r="AD42" i="21"/>
  <c r="AC42" i="21"/>
  <c r="AB42" i="21"/>
  <c r="B42" i="21"/>
  <c r="AD41" i="21"/>
  <c r="AC41" i="21"/>
  <c r="AB41" i="21"/>
  <c r="B41" i="21"/>
  <c r="AD40" i="21"/>
  <c r="AC40" i="21"/>
  <c r="AB40" i="21"/>
  <c r="B40" i="21"/>
  <c r="AC39" i="21"/>
  <c r="AD39" i="21" s="1"/>
  <c r="AB39" i="21"/>
  <c r="B39" i="21"/>
  <c r="AD38" i="21"/>
  <c r="AC38" i="21"/>
  <c r="AB38" i="21"/>
  <c r="B38" i="21"/>
  <c r="AD37" i="21"/>
  <c r="AC37" i="21"/>
  <c r="AB37" i="21"/>
  <c r="B37" i="21"/>
  <c r="AC36" i="21"/>
  <c r="AD36" i="21" s="1"/>
  <c r="AB36" i="21"/>
  <c r="B36" i="21"/>
  <c r="AC35" i="21"/>
  <c r="AD35" i="21" s="1"/>
  <c r="AB35" i="21"/>
  <c r="B35" i="21"/>
  <c r="AC34" i="21"/>
  <c r="AD34" i="21" s="1"/>
  <c r="AB34" i="21"/>
  <c r="B34" i="21"/>
  <c r="AD33" i="21"/>
  <c r="AC33" i="21"/>
  <c r="AB33" i="21"/>
  <c r="B33" i="21"/>
  <c r="AD32" i="21"/>
  <c r="AC32" i="21"/>
  <c r="AB32" i="21"/>
  <c r="B32" i="21"/>
  <c r="AC31" i="21"/>
  <c r="AD31" i="21" s="1"/>
  <c r="AB31" i="21"/>
  <c r="B31" i="21"/>
  <c r="AC30" i="21"/>
  <c r="AD30" i="21" s="1"/>
  <c r="AB30" i="21"/>
  <c r="B30" i="21"/>
  <c r="AD29" i="21"/>
  <c r="AC29" i="21"/>
  <c r="AB29" i="21"/>
  <c r="B29" i="21"/>
  <c r="AD28" i="21"/>
  <c r="AC28" i="21"/>
  <c r="AB28" i="21"/>
  <c r="B28" i="21"/>
  <c r="AC27" i="21"/>
  <c r="AD27" i="21" s="1"/>
  <c r="AB27" i="21"/>
  <c r="B27" i="21"/>
  <c r="AC26" i="21"/>
  <c r="AD26" i="21" s="1"/>
  <c r="AB26" i="21"/>
  <c r="B26" i="21"/>
  <c r="AD25" i="21"/>
  <c r="AC25" i="21"/>
  <c r="AB25" i="21"/>
  <c r="B25" i="21"/>
  <c r="AD24" i="21"/>
  <c r="AC24" i="21"/>
  <c r="AB24" i="21"/>
  <c r="B24" i="21"/>
  <c r="AC23" i="21"/>
  <c r="AD23" i="21" s="1"/>
  <c r="AB23" i="21"/>
  <c r="B23" i="21"/>
  <c r="AC22" i="21"/>
  <c r="AD22" i="21" s="1"/>
  <c r="AB22" i="21"/>
  <c r="B22" i="21"/>
  <c r="AD21" i="21"/>
  <c r="AC21" i="21"/>
  <c r="AB21" i="21"/>
  <c r="B21" i="21"/>
  <c r="AD20" i="21"/>
  <c r="AC20" i="21"/>
  <c r="AB20" i="21"/>
  <c r="B20" i="21"/>
  <c r="AC19" i="21"/>
  <c r="AD19" i="21" s="1"/>
  <c r="AB19" i="21"/>
  <c r="B19" i="21"/>
  <c r="AC18" i="21"/>
  <c r="AD18" i="21" s="1"/>
  <c r="AB18" i="21"/>
  <c r="B18" i="21"/>
  <c r="AD17" i="21"/>
  <c r="AC17" i="21"/>
  <c r="AB17" i="21"/>
  <c r="B17" i="21"/>
  <c r="AD16" i="21"/>
  <c r="AC16" i="21"/>
  <c r="AB16" i="21"/>
  <c r="B16" i="21"/>
  <c r="AC15" i="21"/>
  <c r="AD15" i="21" s="1"/>
  <c r="AB15" i="21"/>
  <c r="B15" i="21"/>
  <c r="AC14" i="21"/>
  <c r="AD14" i="21" s="1"/>
  <c r="AB14" i="21"/>
  <c r="B14" i="21"/>
  <c r="AD13" i="21"/>
  <c r="AC13" i="21"/>
  <c r="AB13" i="21"/>
  <c r="B13" i="21"/>
  <c r="AD12" i="21"/>
  <c r="AC12" i="21"/>
  <c r="AB12" i="21"/>
  <c r="B12" i="21"/>
  <c r="AC11" i="21"/>
  <c r="AD11" i="21" s="1"/>
  <c r="AB11" i="21"/>
  <c r="B11" i="21"/>
  <c r="AC10" i="21"/>
  <c r="AD10" i="21" s="1"/>
  <c r="AB10" i="21"/>
  <c r="B10" i="21"/>
  <c r="AD9" i="21"/>
  <c r="AC9" i="21"/>
  <c r="AB9" i="21"/>
  <c r="B9" i="21"/>
  <c r="AD8" i="21"/>
  <c r="AC8" i="21"/>
  <c r="AB8" i="21"/>
  <c r="B8" i="21"/>
  <c r="AC7" i="21"/>
  <c r="AD7" i="21" s="1"/>
  <c r="AB7" i="21"/>
  <c r="B7" i="21"/>
  <c r="AC6" i="21"/>
  <c r="AC47" i="21" s="1"/>
  <c r="AD47" i="21" s="1"/>
  <c r="AB6" i="21"/>
  <c r="B6" i="21"/>
  <c r="A6" i="21"/>
  <c r="A7" i="21" s="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C45" i="29"/>
  <c r="AD45" i="29" s="1"/>
  <c r="AB45" i="29"/>
  <c r="B45" i="29"/>
  <c r="AC44" i="29"/>
  <c r="AD44" i="29" s="1"/>
  <c r="AB44" i="29"/>
  <c r="B44" i="29"/>
  <c r="AC43" i="29"/>
  <c r="AD43" i="29" s="1"/>
  <c r="AB43" i="29"/>
  <c r="B43" i="29"/>
  <c r="AD42" i="29"/>
  <c r="AC42" i="29"/>
  <c r="AB42" i="29"/>
  <c r="B42" i="29"/>
  <c r="AD41" i="29"/>
  <c r="AC41" i="29"/>
  <c r="AB41" i="29"/>
  <c r="B41" i="29"/>
  <c r="AD40" i="29"/>
  <c r="AC40" i="29"/>
  <c r="AB40" i="29"/>
  <c r="B40" i="29"/>
  <c r="AC39" i="29"/>
  <c r="AD39" i="29" s="1"/>
  <c r="AB39" i="29"/>
  <c r="B39" i="29"/>
  <c r="AD38" i="29"/>
  <c r="AC38" i="29"/>
  <c r="AB38" i="29"/>
  <c r="B38" i="29"/>
  <c r="AD37" i="29"/>
  <c r="AC37" i="29"/>
  <c r="AB37" i="29"/>
  <c r="B37" i="29"/>
  <c r="AC36" i="29"/>
  <c r="AD36" i="29" s="1"/>
  <c r="AB36" i="29"/>
  <c r="B36" i="29"/>
  <c r="AC35" i="29"/>
  <c r="AD35" i="29" s="1"/>
  <c r="AB35" i="29"/>
  <c r="B35" i="29"/>
  <c r="AD34" i="29"/>
  <c r="AC34" i="29"/>
  <c r="AB34" i="29"/>
  <c r="B34" i="29"/>
  <c r="AD33" i="29"/>
  <c r="AC33" i="29"/>
  <c r="AB33" i="29"/>
  <c r="B33" i="29"/>
  <c r="AC32" i="29"/>
  <c r="AD32" i="29" s="1"/>
  <c r="AB32" i="29"/>
  <c r="B32" i="29"/>
  <c r="AC31" i="29"/>
  <c r="AD31" i="29" s="1"/>
  <c r="AB31" i="29"/>
  <c r="B31" i="29"/>
  <c r="AD30" i="29"/>
  <c r="AC30" i="29"/>
  <c r="AB30" i="29"/>
  <c r="B30" i="29"/>
  <c r="AD29" i="29"/>
  <c r="AC29" i="29"/>
  <c r="AB29" i="29"/>
  <c r="B29" i="29"/>
  <c r="AD28" i="29"/>
  <c r="AC28" i="29"/>
  <c r="AB28" i="29"/>
  <c r="B28" i="29"/>
  <c r="AC27" i="29"/>
  <c r="AD27" i="29" s="1"/>
  <c r="AB27" i="29"/>
  <c r="B27" i="29"/>
  <c r="AD26" i="29"/>
  <c r="AC26" i="29"/>
  <c r="AB26" i="29"/>
  <c r="B26" i="29"/>
  <c r="AD25" i="29"/>
  <c r="AC25" i="29"/>
  <c r="AB25" i="29"/>
  <c r="B25" i="29"/>
  <c r="AD24" i="29"/>
  <c r="AC24" i="29"/>
  <c r="AB24" i="29"/>
  <c r="B24" i="29"/>
  <c r="AC23" i="29"/>
  <c r="AD23" i="29" s="1"/>
  <c r="AB23" i="29"/>
  <c r="B23" i="29"/>
  <c r="AC22" i="29"/>
  <c r="AD22" i="29" s="1"/>
  <c r="AB22" i="29"/>
  <c r="B22" i="29"/>
  <c r="AD21" i="29"/>
  <c r="AC21" i="29"/>
  <c r="AB21" i="29"/>
  <c r="B21" i="29"/>
  <c r="AD20" i="29"/>
  <c r="AC20" i="29"/>
  <c r="AB20" i="29"/>
  <c r="B20" i="29"/>
  <c r="AC19" i="29"/>
  <c r="AD19" i="29" s="1"/>
  <c r="AB19" i="29"/>
  <c r="B19" i="29"/>
  <c r="AC18" i="29"/>
  <c r="AD18" i="29" s="1"/>
  <c r="AB18" i="29"/>
  <c r="B18" i="29"/>
  <c r="AD17" i="29"/>
  <c r="AC17" i="29"/>
  <c r="AB17" i="29"/>
  <c r="B17" i="29"/>
  <c r="AD16" i="29"/>
  <c r="AC16" i="29"/>
  <c r="AB16" i="29"/>
  <c r="B16" i="29"/>
  <c r="AC15" i="29"/>
  <c r="AD15" i="29" s="1"/>
  <c r="AB15" i="29"/>
  <c r="B15" i="29"/>
  <c r="AC14" i="29"/>
  <c r="AD14" i="29" s="1"/>
  <c r="AB14" i="29"/>
  <c r="B14" i="29"/>
  <c r="AD13" i="29"/>
  <c r="AC13" i="29"/>
  <c r="AB13" i="29"/>
  <c r="B13" i="29"/>
  <c r="AD12" i="29"/>
  <c r="AC12" i="29"/>
  <c r="AB12" i="29"/>
  <c r="B12" i="29"/>
  <c r="AC11" i="29"/>
  <c r="AD11" i="29" s="1"/>
  <c r="AB11" i="29"/>
  <c r="B11" i="29"/>
  <c r="AC10" i="29"/>
  <c r="AD10" i="29" s="1"/>
  <c r="AB10" i="29"/>
  <c r="B10" i="29"/>
  <c r="AD9" i="29"/>
  <c r="AC9" i="29"/>
  <c r="AB9" i="29"/>
  <c r="B9" i="29"/>
  <c r="AD8" i="29"/>
  <c r="AC8" i="29"/>
  <c r="AB8" i="29"/>
  <c r="B8" i="29"/>
  <c r="AC7" i="29"/>
  <c r="AD7" i="29" s="1"/>
  <c r="AB7" i="29"/>
  <c r="B7" i="29"/>
  <c r="AC6" i="29"/>
  <c r="AC47" i="29" s="1"/>
  <c r="AD47" i="29" s="1"/>
  <c r="AB6" i="29"/>
  <c r="B6" i="29"/>
  <c r="A6" i="29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A41" i="29" s="1"/>
  <c r="A42" i="29" s="1"/>
  <c r="A43" i="29" s="1"/>
  <c r="A44" i="29" s="1"/>
  <c r="A45" i="29" s="1"/>
  <c r="AC45" i="22"/>
  <c r="AD45" i="22" s="1"/>
  <c r="AB45" i="22"/>
  <c r="B45" i="22"/>
  <c r="AC44" i="22"/>
  <c r="AD44" i="22" s="1"/>
  <c r="AB44" i="22"/>
  <c r="B44" i="22"/>
  <c r="AC43" i="22"/>
  <c r="AD43" i="22" s="1"/>
  <c r="AB43" i="22"/>
  <c r="B43" i="22"/>
  <c r="AC42" i="22"/>
  <c r="AD42" i="22" s="1"/>
  <c r="AB42" i="22"/>
  <c r="B42" i="22"/>
  <c r="AD41" i="22"/>
  <c r="AC41" i="22"/>
  <c r="AB41" i="22"/>
  <c r="B41" i="22"/>
  <c r="AD40" i="22"/>
  <c r="AC40" i="22"/>
  <c r="AB40" i="22"/>
  <c r="B40" i="22"/>
  <c r="AC39" i="22"/>
  <c r="AD39" i="22" s="1"/>
  <c r="AB39" i="22"/>
  <c r="B39" i="22"/>
  <c r="AC38" i="22"/>
  <c r="AD38" i="22" s="1"/>
  <c r="AB38" i="22"/>
  <c r="B38" i="22"/>
  <c r="AC37" i="22"/>
  <c r="AD37" i="22" s="1"/>
  <c r="AB37" i="22"/>
  <c r="B37" i="22"/>
  <c r="AD36" i="22"/>
  <c r="AC36" i="22"/>
  <c r="AB36" i="22"/>
  <c r="B36" i="22"/>
  <c r="AC35" i="22"/>
  <c r="AD35" i="22" s="1"/>
  <c r="AB35" i="22"/>
  <c r="B35" i="22"/>
  <c r="AC34" i="22"/>
  <c r="AD34" i="22" s="1"/>
  <c r="AB34" i="22"/>
  <c r="B34" i="22"/>
  <c r="AC33" i="22"/>
  <c r="AD33" i="22" s="1"/>
  <c r="AB33" i="22"/>
  <c r="B33" i="22"/>
  <c r="AD32" i="22"/>
  <c r="AC32" i="22"/>
  <c r="AB32" i="22"/>
  <c r="B32" i="22"/>
  <c r="AC31" i="22"/>
  <c r="AD31" i="22" s="1"/>
  <c r="AB31" i="22"/>
  <c r="B31" i="22"/>
  <c r="AC30" i="22"/>
  <c r="AD30" i="22" s="1"/>
  <c r="AB30" i="22"/>
  <c r="B30" i="22"/>
  <c r="AC29" i="22"/>
  <c r="AD29" i="22" s="1"/>
  <c r="AB29" i="22"/>
  <c r="B29" i="22"/>
  <c r="AD28" i="22"/>
  <c r="AC28" i="22"/>
  <c r="AB28" i="22"/>
  <c r="B28" i="22"/>
  <c r="AC27" i="22"/>
  <c r="AD27" i="22" s="1"/>
  <c r="AB27" i="22"/>
  <c r="B27" i="22"/>
  <c r="AC26" i="22"/>
  <c r="AD26" i="22" s="1"/>
  <c r="AB26" i="22"/>
  <c r="B26" i="22"/>
  <c r="AC25" i="22"/>
  <c r="AD25" i="22" s="1"/>
  <c r="AB25" i="22"/>
  <c r="B25" i="22"/>
  <c r="AD24" i="22"/>
  <c r="AC24" i="22"/>
  <c r="AB24" i="22"/>
  <c r="B24" i="22"/>
  <c r="AC23" i="22"/>
  <c r="AD23" i="22" s="1"/>
  <c r="AB23" i="22"/>
  <c r="B23" i="22"/>
  <c r="AC22" i="22"/>
  <c r="AD22" i="22" s="1"/>
  <c r="AB22" i="22"/>
  <c r="B22" i="22"/>
  <c r="AC21" i="22"/>
  <c r="AD21" i="22" s="1"/>
  <c r="AB21" i="22"/>
  <c r="B21" i="22"/>
  <c r="AD20" i="22"/>
  <c r="AC20" i="22"/>
  <c r="AB20" i="22"/>
  <c r="B20" i="22"/>
  <c r="AC19" i="22"/>
  <c r="AD19" i="22" s="1"/>
  <c r="AB19" i="22"/>
  <c r="B19" i="22"/>
  <c r="AC18" i="22"/>
  <c r="AD18" i="22" s="1"/>
  <c r="AB18" i="22"/>
  <c r="B18" i="22"/>
  <c r="AC17" i="22"/>
  <c r="AD17" i="22" s="1"/>
  <c r="AB17" i="22"/>
  <c r="B17" i="22"/>
  <c r="AD16" i="22"/>
  <c r="AC16" i="22"/>
  <c r="AB16" i="22"/>
  <c r="B16" i="22"/>
  <c r="AC15" i="22"/>
  <c r="AD15" i="22" s="1"/>
  <c r="AB15" i="22"/>
  <c r="B15" i="22"/>
  <c r="AC14" i="22"/>
  <c r="AD14" i="22" s="1"/>
  <c r="AB14" i="22"/>
  <c r="B14" i="22"/>
  <c r="AC13" i="22"/>
  <c r="AD13" i="22" s="1"/>
  <c r="AB13" i="22"/>
  <c r="B13" i="22"/>
  <c r="AD12" i="22"/>
  <c r="AC12" i="22"/>
  <c r="AB12" i="22"/>
  <c r="B12" i="22"/>
  <c r="AC11" i="22"/>
  <c r="AD11" i="22" s="1"/>
  <c r="AB11" i="22"/>
  <c r="B11" i="22"/>
  <c r="AC10" i="22"/>
  <c r="AD10" i="22" s="1"/>
  <c r="AB10" i="22"/>
  <c r="B10" i="22"/>
  <c r="AC9" i="22"/>
  <c r="AD9" i="22" s="1"/>
  <c r="AB9" i="22"/>
  <c r="B9" i="22"/>
  <c r="AD8" i="22"/>
  <c r="AC8" i="22"/>
  <c r="AB8" i="22"/>
  <c r="B8" i="22"/>
  <c r="AC7" i="22"/>
  <c r="AD7" i="22" s="1"/>
  <c r="AB7" i="22"/>
  <c r="B7" i="22"/>
  <c r="AC6" i="22"/>
  <c r="AD6" i="22" s="1"/>
  <c r="AB6" i="22"/>
  <c r="B6" i="22"/>
  <c r="A6" i="22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E6" i="8"/>
  <c r="AD6" i="21" l="1"/>
  <c r="AD6" i="29"/>
  <c r="AC47" i="22"/>
  <c r="AD47" i="22" s="1"/>
  <c r="AC45" i="34"/>
  <c r="AD45" i="34" s="1"/>
  <c r="AB45" i="34"/>
  <c r="B45" i="34"/>
  <c r="AD44" i="34"/>
  <c r="AC44" i="34"/>
  <c r="AB44" i="34"/>
  <c r="B44" i="34"/>
  <c r="AC43" i="34"/>
  <c r="AD43" i="34" s="1"/>
  <c r="AB43" i="34"/>
  <c r="B43" i="34"/>
  <c r="AD42" i="34"/>
  <c r="AC42" i="34"/>
  <c r="AB42" i="34"/>
  <c r="B42" i="34"/>
  <c r="AC41" i="34"/>
  <c r="AD41" i="34" s="1"/>
  <c r="AB41" i="34"/>
  <c r="B41" i="34"/>
  <c r="AD40" i="34"/>
  <c r="AC40" i="34"/>
  <c r="AB40" i="34"/>
  <c r="B40" i="34"/>
  <c r="AC39" i="34"/>
  <c r="AD39" i="34" s="1"/>
  <c r="AB39" i="34"/>
  <c r="B39" i="34"/>
  <c r="AD38" i="34"/>
  <c r="AC38" i="34"/>
  <c r="AB38" i="34"/>
  <c r="B38" i="34"/>
  <c r="AC37" i="34"/>
  <c r="AD37" i="34" s="1"/>
  <c r="AB37" i="34"/>
  <c r="B37" i="34"/>
  <c r="AD36" i="34"/>
  <c r="AC36" i="34"/>
  <c r="AB36" i="34"/>
  <c r="B36" i="34"/>
  <c r="AC35" i="34"/>
  <c r="AD35" i="34" s="1"/>
  <c r="AB35" i="34"/>
  <c r="B35" i="34"/>
  <c r="AD34" i="34"/>
  <c r="AC34" i="34"/>
  <c r="AB34" i="34"/>
  <c r="B34" i="34"/>
  <c r="AC33" i="34"/>
  <c r="AD33" i="34" s="1"/>
  <c r="AB33" i="34"/>
  <c r="B33" i="34"/>
  <c r="AD32" i="34"/>
  <c r="AC32" i="34"/>
  <c r="AB32" i="34"/>
  <c r="B32" i="34"/>
  <c r="AC31" i="34"/>
  <c r="AD31" i="34" s="1"/>
  <c r="AB31" i="34"/>
  <c r="B31" i="34"/>
  <c r="AD30" i="34"/>
  <c r="AC30" i="34"/>
  <c r="AB30" i="34"/>
  <c r="B30" i="34"/>
  <c r="AC29" i="34"/>
  <c r="AD29" i="34" s="1"/>
  <c r="AB29" i="34"/>
  <c r="B29" i="34"/>
  <c r="AD28" i="34"/>
  <c r="AC28" i="34"/>
  <c r="AB28" i="34"/>
  <c r="B28" i="34"/>
  <c r="AC27" i="34"/>
  <c r="AD27" i="34" s="1"/>
  <c r="AB27" i="34"/>
  <c r="B27" i="34"/>
  <c r="AD26" i="34"/>
  <c r="AC26" i="34"/>
  <c r="AB26" i="34"/>
  <c r="B26" i="34"/>
  <c r="AC25" i="34"/>
  <c r="AD25" i="34" s="1"/>
  <c r="AB25" i="34"/>
  <c r="B25" i="34"/>
  <c r="AD24" i="34"/>
  <c r="AC24" i="34"/>
  <c r="AB24" i="34"/>
  <c r="B24" i="34"/>
  <c r="AC23" i="34"/>
  <c r="AD23" i="34" s="1"/>
  <c r="AB23" i="34"/>
  <c r="B23" i="34"/>
  <c r="AD22" i="34"/>
  <c r="AC22" i="34"/>
  <c r="AB22" i="34"/>
  <c r="B22" i="34"/>
  <c r="AC21" i="34"/>
  <c r="AD21" i="34" s="1"/>
  <c r="AB21" i="34"/>
  <c r="B21" i="34"/>
  <c r="AD20" i="34"/>
  <c r="AC20" i="34"/>
  <c r="AB20" i="34"/>
  <c r="B20" i="34"/>
  <c r="AC19" i="34"/>
  <c r="AD19" i="34" s="1"/>
  <c r="AB19" i="34"/>
  <c r="B19" i="34"/>
  <c r="AD18" i="34"/>
  <c r="AC18" i="34"/>
  <c r="AB18" i="34"/>
  <c r="B18" i="34"/>
  <c r="AC17" i="34"/>
  <c r="AD17" i="34" s="1"/>
  <c r="AB17" i="34"/>
  <c r="B17" i="34"/>
  <c r="AD16" i="34"/>
  <c r="AC16" i="34"/>
  <c r="AB16" i="34"/>
  <c r="B16" i="34"/>
  <c r="AC15" i="34"/>
  <c r="AD15" i="34" s="1"/>
  <c r="AB15" i="34"/>
  <c r="B15" i="34"/>
  <c r="AD14" i="34"/>
  <c r="AC14" i="34"/>
  <c r="AB14" i="34"/>
  <c r="B14" i="34"/>
  <c r="AC13" i="34"/>
  <c r="AD13" i="34" s="1"/>
  <c r="AB13" i="34"/>
  <c r="B13" i="34"/>
  <c r="AD12" i="34"/>
  <c r="AC12" i="34"/>
  <c r="AB12" i="34"/>
  <c r="B12" i="34"/>
  <c r="AC11" i="34"/>
  <c r="AD11" i="34" s="1"/>
  <c r="AB11" i="34"/>
  <c r="B11" i="34"/>
  <c r="AD10" i="34"/>
  <c r="AC10" i="34"/>
  <c r="AB10" i="34"/>
  <c r="B10" i="34"/>
  <c r="AC9" i="34"/>
  <c r="AD9" i="34" s="1"/>
  <c r="AB9" i="34"/>
  <c r="B9" i="34"/>
  <c r="AD8" i="34"/>
  <c r="AC8" i="34"/>
  <c r="AB8" i="34"/>
  <c r="B8" i="34"/>
  <c r="AC7" i="34"/>
  <c r="AD7" i="34" s="1"/>
  <c r="AB7" i="34"/>
  <c r="B7" i="34"/>
  <c r="AD6" i="34"/>
  <c r="AC6" i="34"/>
  <c r="AC47" i="34" s="1"/>
  <c r="AD47" i="34" s="1"/>
  <c r="AB6" i="34"/>
  <c r="B6" i="34"/>
  <c r="A6" i="34"/>
  <c r="A7" i="34" s="1"/>
  <c r="A8" i="34" s="1"/>
  <c r="A9" i="34" s="1"/>
  <c r="A10" i="34" s="1"/>
  <c r="A11" i="34" s="1"/>
  <c r="A12" i="34" s="1"/>
  <c r="A13" i="34" s="1"/>
  <c r="A14" i="34" s="1"/>
  <c r="A15" i="34" s="1"/>
  <c r="A16" i="34" s="1"/>
  <c r="A17" i="34" s="1"/>
  <c r="A18" i="34" s="1"/>
  <c r="A19" i="34" s="1"/>
  <c r="A20" i="34" s="1"/>
  <c r="A21" i="34" s="1"/>
  <c r="A22" i="34" s="1"/>
  <c r="A23" i="34" s="1"/>
  <c r="A24" i="34" s="1"/>
  <c r="A25" i="34" s="1"/>
  <c r="A26" i="34" s="1"/>
  <c r="A27" i="34" s="1"/>
  <c r="A28" i="34" s="1"/>
  <c r="A29" i="34" s="1"/>
  <c r="A30" i="34" s="1"/>
  <c r="A31" i="34" s="1"/>
  <c r="A32" i="34" s="1"/>
  <c r="A33" i="34" s="1"/>
  <c r="A34" i="34" s="1"/>
  <c r="A35" i="34" s="1"/>
  <c r="A36" i="34" s="1"/>
  <c r="A37" i="34" s="1"/>
  <c r="A38" i="34" s="1"/>
  <c r="A39" i="34" s="1"/>
  <c r="A40" i="34" s="1"/>
  <c r="A41" i="34" s="1"/>
  <c r="A42" i="34" s="1"/>
  <c r="A43" i="34" s="1"/>
  <c r="A44" i="34" s="1"/>
  <c r="A45" i="34" s="1"/>
  <c r="AC45" i="9"/>
  <c r="AD45" i="9" s="1"/>
  <c r="AB45" i="9"/>
  <c r="B45" i="9"/>
  <c r="AC44" i="9"/>
  <c r="AD44" i="9" s="1"/>
  <c r="AB44" i="9"/>
  <c r="B44" i="9"/>
  <c r="AC43" i="9"/>
  <c r="AD43" i="9" s="1"/>
  <c r="AB43" i="9"/>
  <c r="B43" i="9"/>
  <c r="AD42" i="9"/>
  <c r="AC42" i="9"/>
  <c r="AB42" i="9"/>
  <c r="B42" i="9"/>
  <c r="AD41" i="9"/>
  <c r="AC41" i="9"/>
  <c r="AB41" i="9"/>
  <c r="B41" i="9"/>
  <c r="AD40" i="9"/>
  <c r="AC40" i="9"/>
  <c r="AB40" i="9"/>
  <c r="B40" i="9"/>
  <c r="AC39" i="9"/>
  <c r="AD39" i="9" s="1"/>
  <c r="AB39" i="9"/>
  <c r="B39" i="9"/>
  <c r="AC38" i="9"/>
  <c r="AD38" i="9" s="1"/>
  <c r="AB38" i="9"/>
  <c r="B38" i="9"/>
  <c r="AD37" i="9"/>
  <c r="AC37" i="9"/>
  <c r="AB37" i="9"/>
  <c r="B37" i="9"/>
  <c r="AC36" i="9"/>
  <c r="AD36" i="9" s="1"/>
  <c r="AB36" i="9"/>
  <c r="B36" i="9"/>
  <c r="AC35" i="9"/>
  <c r="AD35" i="9" s="1"/>
  <c r="AB35" i="9"/>
  <c r="B35" i="9"/>
  <c r="AD34" i="9"/>
  <c r="AC34" i="9"/>
  <c r="AB34" i="9"/>
  <c r="B34" i="9"/>
  <c r="AD33" i="9"/>
  <c r="AC33" i="9"/>
  <c r="AB33" i="9"/>
  <c r="B33" i="9"/>
  <c r="AD32" i="9"/>
  <c r="AC32" i="9"/>
  <c r="AB32" i="9"/>
  <c r="B32" i="9"/>
  <c r="AC31" i="9"/>
  <c r="AD31" i="9" s="1"/>
  <c r="AB31" i="9"/>
  <c r="B31" i="9"/>
  <c r="AD30" i="9"/>
  <c r="AC30" i="9"/>
  <c r="AB30" i="9"/>
  <c r="B30" i="9"/>
  <c r="AD29" i="9"/>
  <c r="AC29" i="9"/>
  <c r="AB29" i="9"/>
  <c r="B29" i="9"/>
  <c r="AD28" i="9"/>
  <c r="AC28" i="9"/>
  <c r="AB28" i="9"/>
  <c r="B28" i="9"/>
  <c r="AC27" i="9"/>
  <c r="AD27" i="9" s="1"/>
  <c r="AB27" i="9"/>
  <c r="B27" i="9"/>
  <c r="AD26" i="9"/>
  <c r="AC26" i="9"/>
  <c r="AB26" i="9"/>
  <c r="B26" i="9"/>
  <c r="AD25" i="9"/>
  <c r="AC25" i="9"/>
  <c r="AB25" i="9"/>
  <c r="B25" i="9"/>
  <c r="AC24" i="9"/>
  <c r="AD24" i="9" s="1"/>
  <c r="AB24" i="9"/>
  <c r="B24" i="9"/>
  <c r="AC23" i="9"/>
  <c r="AD23" i="9" s="1"/>
  <c r="AB23" i="9"/>
  <c r="B23" i="9"/>
  <c r="AD22" i="9"/>
  <c r="AC22" i="9"/>
  <c r="AB22" i="9"/>
  <c r="B22" i="9"/>
  <c r="AD21" i="9"/>
  <c r="AC21" i="9"/>
  <c r="AB21" i="9"/>
  <c r="B21" i="9"/>
  <c r="AD20" i="9"/>
  <c r="AC20" i="9"/>
  <c r="AB20" i="9"/>
  <c r="B20" i="9"/>
  <c r="AC19" i="9"/>
  <c r="AD19" i="9" s="1"/>
  <c r="AB19" i="9"/>
  <c r="B19" i="9"/>
  <c r="AD18" i="9"/>
  <c r="AC18" i="9"/>
  <c r="AB18" i="9"/>
  <c r="B18" i="9"/>
  <c r="AD17" i="9"/>
  <c r="AC17" i="9"/>
  <c r="AB17" i="9"/>
  <c r="B17" i="9"/>
  <c r="AD16" i="9"/>
  <c r="AC16" i="9"/>
  <c r="AB16" i="9"/>
  <c r="B16" i="9"/>
  <c r="AC15" i="9"/>
  <c r="AD15" i="9" s="1"/>
  <c r="AB15" i="9"/>
  <c r="B15" i="9"/>
  <c r="AC14" i="9"/>
  <c r="AD14" i="9" s="1"/>
  <c r="AB14" i="9"/>
  <c r="B14" i="9"/>
  <c r="AD13" i="9"/>
  <c r="AC13" i="9"/>
  <c r="AB13" i="9"/>
  <c r="B13" i="9"/>
  <c r="AD12" i="9"/>
  <c r="AC12" i="9"/>
  <c r="AB12" i="9"/>
  <c r="B12" i="9"/>
  <c r="AC11" i="9"/>
  <c r="AD11" i="9" s="1"/>
  <c r="AB11" i="9"/>
  <c r="B11" i="9"/>
  <c r="AC10" i="9"/>
  <c r="AD10" i="9" s="1"/>
  <c r="AB10" i="9"/>
  <c r="B10" i="9"/>
  <c r="AD9" i="9"/>
  <c r="AC9" i="9"/>
  <c r="AB9" i="9"/>
  <c r="B9" i="9"/>
  <c r="AD8" i="9"/>
  <c r="AC8" i="9"/>
  <c r="AB8" i="9"/>
  <c r="B8" i="9"/>
  <c r="AC7" i="9"/>
  <c r="AD7" i="9" s="1"/>
  <c r="AB7" i="9"/>
  <c r="B7" i="9"/>
  <c r="AC6" i="9"/>
  <c r="AD6" i="9" s="1"/>
  <c r="AB6" i="9"/>
  <c r="B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C47" i="9" l="1"/>
  <c r="AD47" i="9" s="1"/>
  <c r="AC46" i="20"/>
  <c r="AD46" i="20" s="1"/>
  <c r="AB46" i="20"/>
  <c r="AC45" i="20"/>
  <c r="AD45" i="20" s="1"/>
  <c r="AB45" i="20"/>
  <c r="B45" i="20"/>
  <c r="AC44" i="20"/>
  <c r="AD44" i="20" s="1"/>
  <c r="AB44" i="20"/>
  <c r="B44" i="20"/>
  <c r="AD43" i="20"/>
  <c r="AC43" i="20"/>
  <c r="AB43" i="20"/>
  <c r="B43" i="20"/>
  <c r="AC42" i="20"/>
  <c r="AD42" i="20" s="1"/>
  <c r="AB42" i="20"/>
  <c r="B42" i="20"/>
  <c r="AC41" i="20"/>
  <c r="AD41" i="20" s="1"/>
  <c r="AB41" i="20"/>
  <c r="B41" i="20"/>
  <c r="AC40" i="20"/>
  <c r="AD40" i="20" s="1"/>
  <c r="AB40" i="20"/>
  <c r="B40" i="20"/>
  <c r="AD39" i="20"/>
  <c r="AC39" i="20"/>
  <c r="AB39" i="20"/>
  <c r="B39" i="20"/>
  <c r="AC38" i="20"/>
  <c r="AD38" i="20" s="1"/>
  <c r="AB38" i="20"/>
  <c r="B38" i="20"/>
  <c r="AC37" i="20"/>
  <c r="AD37" i="20" s="1"/>
  <c r="AB37" i="20"/>
  <c r="B37" i="20"/>
  <c r="AC36" i="20"/>
  <c r="AD36" i="20" s="1"/>
  <c r="AB36" i="20"/>
  <c r="B36" i="20"/>
  <c r="AD35" i="20"/>
  <c r="AC35" i="20"/>
  <c r="AB35" i="20"/>
  <c r="B35" i="20"/>
  <c r="AC34" i="20"/>
  <c r="AD34" i="20" s="1"/>
  <c r="AB34" i="20"/>
  <c r="B34" i="20"/>
  <c r="AC33" i="20"/>
  <c r="AD33" i="20" s="1"/>
  <c r="AB33" i="20"/>
  <c r="B33" i="20"/>
  <c r="AC32" i="20"/>
  <c r="AD32" i="20" s="1"/>
  <c r="AB32" i="20"/>
  <c r="B32" i="20"/>
  <c r="AD31" i="20"/>
  <c r="AC31" i="20"/>
  <c r="AB31" i="20"/>
  <c r="B31" i="20"/>
  <c r="AC30" i="20"/>
  <c r="AD30" i="20" s="1"/>
  <c r="AB30" i="20"/>
  <c r="B30" i="20"/>
  <c r="AC29" i="20"/>
  <c r="AD29" i="20" s="1"/>
  <c r="AB29" i="20"/>
  <c r="B29" i="20"/>
  <c r="AC28" i="20"/>
  <c r="AD28" i="20" s="1"/>
  <c r="AB28" i="20"/>
  <c r="B28" i="20"/>
  <c r="AD27" i="20"/>
  <c r="AC27" i="20"/>
  <c r="AB27" i="20"/>
  <c r="B27" i="20"/>
  <c r="AC26" i="20"/>
  <c r="AD26" i="20" s="1"/>
  <c r="AB26" i="20"/>
  <c r="B26" i="20"/>
  <c r="AC25" i="20"/>
  <c r="AD25" i="20" s="1"/>
  <c r="AB25" i="20"/>
  <c r="B25" i="20"/>
  <c r="AC24" i="20"/>
  <c r="AD24" i="20" s="1"/>
  <c r="AB24" i="20"/>
  <c r="B24" i="20"/>
  <c r="AD23" i="20"/>
  <c r="AC23" i="20"/>
  <c r="AB23" i="20"/>
  <c r="B23" i="20"/>
  <c r="AC22" i="20"/>
  <c r="AD22" i="20" s="1"/>
  <c r="AB22" i="20"/>
  <c r="B22" i="20"/>
  <c r="AC21" i="20"/>
  <c r="AD21" i="20" s="1"/>
  <c r="AB21" i="20"/>
  <c r="B21" i="20"/>
  <c r="AC20" i="20"/>
  <c r="AD20" i="20" s="1"/>
  <c r="AB20" i="20"/>
  <c r="B20" i="20"/>
  <c r="AD19" i="20"/>
  <c r="AC19" i="20"/>
  <c r="AB19" i="20"/>
  <c r="B19" i="20"/>
  <c r="AC18" i="20"/>
  <c r="AD18" i="20" s="1"/>
  <c r="AB18" i="20"/>
  <c r="B18" i="20"/>
  <c r="AC17" i="20"/>
  <c r="AD17" i="20" s="1"/>
  <c r="AB17" i="20"/>
  <c r="B17" i="20"/>
  <c r="AC16" i="20"/>
  <c r="AD16" i="20" s="1"/>
  <c r="AB16" i="20"/>
  <c r="B16" i="20"/>
  <c r="AD15" i="20"/>
  <c r="AC15" i="20"/>
  <c r="AB15" i="20"/>
  <c r="B15" i="20"/>
  <c r="AC14" i="20"/>
  <c r="AD14" i="20" s="1"/>
  <c r="AB14" i="20"/>
  <c r="B14" i="20"/>
  <c r="AC13" i="20"/>
  <c r="AD13" i="20" s="1"/>
  <c r="AB13" i="20"/>
  <c r="B13" i="20"/>
  <c r="AC12" i="20"/>
  <c r="AD12" i="20" s="1"/>
  <c r="AB12" i="20"/>
  <c r="B12" i="20"/>
  <c r="AD11" i="20"/>
  <c r="AC11" i="20"/>
  <c r="AB11" i="20"/>
  <c r="B11" i="20"/>
  <c r="AC10" i="20"/>
  <c r="AD10" i="20" s="1"/>
  <c r="AB10" i="20"/>
  <c r="B10" i="20"/>
  <c r="AC9" i="20"/>
  <c r="AD9" i="20" s="1"/>
  <c r="AB9" i="20"/>
  <c r="B9" i="20"/>
  <c r="AC8" i="20"/>
  <c r="AD8" i="20" s="1"/>
  <c r="AB8" i="20"/>
  <c r="B8" i="20"/>
  <c r="AD7" i="20"/>
  <c r="AC7" i="20"/>
  <c r="AB7" i="20"/>
  <c r="B7" i="20"/>
  <c r="AC6" i="20"/>
  <c r="AD6" i="20" s="1"/>
  <c r="AB6" i="20"/>
  <c r="B6" i="20"/>
  <c r="A6" i="20"/>
  <c r="A7" i="20" s="1"/>
  <c r="A8" i="20" s="1"/>
  <c r="A9" i="20" s="1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O6" i="8"/>
  <c r="AC47" i="20" l="1"/>
  <c r="AD47" i="20" s="1"/>
  <c r="AC46" i="18"/>
  <c r="AD46" i="18" s="1"/>
  <c r="AB46" i="18"/>
  <c r="AC45" i="18"/>
  <c r="AD45" i="18" s="1"/>
  <c r="AB45" i="18"/>
  <c r="B45" i="18"/>
  <c r="AC44" i="18"/>
  <c r="AD44" i="18" s="1"/>
  <c r="AB44" i="18"/>
  <c r="B44" i="18"/>
  <c r="AD43" i="18"/>
  <c r="AC43" i="18"/>
  <c r="AB43" i="18"/>
  <c r="B43" i="18"/>
  <c r="AD42" i="18"/>
  <c r="AC42" i="18"/>
  <c r="AB42" i="18"/>
  <c r="B42" i="18"/>
  <c r="AC41" i="18"/>
  <c r="AD41" i="18" s="1"/>
  <c r="AB41" i="18"/>
  <c r="B41" i="18"/>
  <c r="AC40" i="18"/>
  <c r="AD40" i="18" s="1"/>
  <c r="AB40" i="18"/>
  <c r="B40" i="18"/>
  <c r="AD39" i="18"/>
  <c r="AC39" i="18"/>
  <c r="AB39" i="18"/>
  <c r="B39" i="18"/>
  <c r="AD38" i="18"/>
  <c r="AC38" i="18"/>
  <c r="AB38" i="18"/>
  <c r="B38" i="18"/>
  <c r="AC37" i="18"/>
  <c r="AD37" i="18" s="1"/>
  <c r="AB37" i="18"/>
  <c r="B37" i="18"/>
  <c r="AC36" i="18"/>
  <c r="AD36" i="18" s="1"/>
  <c r="AB36" i="18"/>
  <c r="B36" i="18"/>
  <c r="AD35" i="18"/>
  <c r="AC35" i="18"/>
  <c r="AB35" i="18"/>
  <c r="B35" i="18"/>
  <c r="AD34" i="18"/>
  <c r="AC34" i="18"/>
  <c r="AB34" i="18"/>
  <c r="B34" i="18"/>
  <c r="AC33" i="18"/>
  <c r="AD33" i="18" s="1"/>
  <c r="AB33" i="18"/>
  <c r="B33" i="18"/>
  <c r="AC32" i="18"/>
  <c r="AD32" i="18" s="1"/>
  <c r="AB32" i="18"/>
  <c r="B32" i="18"/>
  <c r="AD31" i="18"/>
  <c r="AC31" i="18"/>
  <c r="AB31" i="18"/>
  <c r="B31" i="18"/>
  <c r="AD30" i="18"/>
  <c r="AC30" i="18"/>
  <c r="AB30" i="18"/>
  <c r="B30" i="18"/>
  <c r="AC29" i="18"/>
  <c r="AD29" i="18" s="1"/>
  <c r="AB29" i="18"/>
  <c r="B29" i="18"/>
  <c r="AC28" i="18"/>
  <c r="AD28" i="18" s="1"/>
  <c r="AB28" i="18"/>
  <c r="B28" i="18"/>
  <c r="AD27" i="18"/>
  <c r="AC27" i="18"/>
  <c r="AB27" i="18"/>
  <c r="B27" i="18"/>
  <c r="AD26" i="18"/>
  <c r="AC26" i="18"/>
  <c r="AB26" i="18"/>
  <c r="B26" i="18"/>
  <c r="AC25" i="18"/>
  <c r="AD25" i="18" s="1"/>
  <c r="AB25" i="18"/>
  <c r="B25" i="18"/>
  <c r="AC24" i="18"/>
  <c r="AD24" i="18" s="1"/>
  <c r="AB24" i="18"/>
  <c r="B24" i="18"/>
  <c r="AD23" i="18"/>
  <c r="AC23" i="18"/>
  <c r="AB23" i="18"/>
  <c r="B23" i="18"/>
  <c r="AD22" i="18"/>
  <c r="AC22" i="18"/>
  <c r="AB22" i="18"/>
  <c r="B22" i="18"/>
  <c r="AC21" i="18"/>
  <c r="AD21" i="18" s="1"/>
  <c r="AB21" i="18"/>
  <c r="B21" i="18"/>
  <c r="AC20" i="18"/>
  <c r="AD20" i="18" s="1"/>
  <c r="AB20" i="18"/>
  <c r="B20" i="18"/>
  <c r="AD19" i="18"/>
  <c r="AC19" i="18"/>
  <c r="AB19" i="18"/>
  <c r="B19" i="18"/>
  <c r="AD18" i="18"/>
  <c r="AC18" i="18"/>
  <c r="AB18" i="18"/>
  <c r="B18" i="18"/>
  <c r="AC17" i="18"/>
  <c r="AD17" i="18" s="1"/>
  <c r="AB17" i="18"/>
  <c r="B17" i="18"/>
  <c r="AC16" i="18"/>
  <c r="AD16" i="18" s="1"/>
  <c r="AB16" i="18"/>
  <c r="B16" i="18"/>
  <c r="AD15" i="18"/>
  <c r="AC15" i="18"/>
  <c r="AB15" i="18"/>
  <c r="B15" i="18"/>
  <c r="AD14" i="18"/>
  <c r="AC14" i="18"/>
  <c r="AB14" i="18"/>
  <c r="B14" i="18"/>
  <c r="AC13" i="18"/>
  <c r="AD13" i="18" s="1"/>
  <c r="AB13" i="18"/>
  <c r="B13" i="18"/>
  <c r="AC12" i="18"/>
  <c r="AD12" i="18" s="1"/>
  <c r="AB12" i="18"/>
  <c r="B12" i="18"/>
  <c r="AD11" i="18"/>
  <c r="AC11" i="18"/>
  <c r="AB11" i="18"/>
  <c r="B11" i="18"/>
  <c r="AD10" i="18"/>
  <c r="AC10" i="18"/>
  <c r="AB10" i="18"/>
  <c r="B10" i="18"/>
  <c r="AC9" i="18"/>
  <c r="AD9" i="18" s="1"/>
  <c r="AB9" i="18"/>
  <c r="B9" i="18"/>
  <c r="AC8" i="18"/>
  <c r="AD8" i="18" s="1"/>
  <c r="AB8" i="18"/>
  <c r="B8" i="18"/>
  <c r="AD7" i="18"/>
  <c r="AC7" i="18"/>
  <c r="AB7" i="18"/>
  <c r="B7" i="18"/>
  <c r="AD6" i="18"/>
  <c r="AC6" i="18"/>
  <c r="AC47" i="18" s="1"/>
  <c r="AD47" i="18" s="1"/>
  <c r="AB6" i="18"/>
  <c r="B6" i="18"/>
  <c r="A6" i="18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AB7" i="16" l="1"/>
  <c r="AC7" i="16"/>
  <c r="AD7" i="16" s="1"/>
  <c r="AB8" i="16"/>
  <c r="AC8" i="16"/>
  <c r="AD8" i="16" s="1"/>
  <c r="AB9" i="16"/>
  <c r="AC9" i="16"/>
  <c r="AD9" i="16"/>
  <c r="AB10" i="16"/>
  <c r="AC10" i="16"/>
  <c r="AD10" i="16"/>
  <c r="AB11" i="16"/>
  <c r="AC11" i="16"/>
  <c r="AD11" i="16" s="1"/>
  <c r="AB12" i="16"/>
  <c r="AC12" i="16"/>
  <c r="AD12" i="16" s="1"/>
  <c r="AB13" i="16"/>
  <c r="AC13" i="16"/>
  <c r="AD13" i="16" s="1"/>
  <c r="AB14" i="16"/>
  <c r="AC14" i="16"/>
  <c r="AD14" i="16"/>
  <c r="AB15" i="16"/>
  <c r="AC15" i="16"/>
  <c r="AD15" i="16" s="1"/>
  <c r="AB16" i="16"/>
  <c r="AC16" i="16"/>
  <c r="AD16" i="16" s="1"/>
  <c r="AB17" i="16"/>
  <c r="AC17" i="16"/>
  <c r="AD17" i="16" s="1"/>
  <c r="AB18" i="16"/>
  <c r="AC18" i="16"/>
  <c r="AD18" i="16"/>
  <c r="AB19" i="16"/>
  <c r="AC19" i="16"/>
  <c r="AD19" i="16" s="1"/>
  <c r="AB20" i="16"/>
  <c r="AC20" i="16"/>
  <c r="AD20" i="16" s="1"/>
  <c r="AB21" i="16"/>
  <c r="AC21" i="16"/>
  <c r="AD21" i="16" s="1"/>
  <c r="AB22" i="16"/>
  <c r="AC22" i="16"/>
  <c r="AD22" i="16"/>
  <c r="AB23" i="16"/>
  <c r="AC23" i="16"/>
  <c r="AD23" i="16" s="1"/>
  <c r="AB24" i="16"/>
  <c r="AC24" i="16"/>
  <c r="AD24" i="16" s="1"/>
  <c r="AB25" i="16"/>
  <c r="AC25" i="16"/>
  <c r="AD25" i="16" s="1"/>
  <c r="AB26" i="16"/>
  <c r="AC26" i="16"/>
  <c r="AD26" i="16"/>
  <c r="AB27" i="16"/>
  <c r="AC27" i="16"/>
  <c r="AD27" i="16" s="1"/>
  <c r="AB28" i="16"/>
  <c r="AC28" i="16"/>
  <c r="AD28" i="16" s="1"/>
  <c r="AB29" i="16"/>
  <c r="AC29" i="16"/>
  <c r="AD29" i="16" s="1"/>
  <c r="AB30" i="16"/>
  <c r="AC30" i="16"/>
  <c r="AD30" i="16"/>
  <c r="AB31" i="16"/>
  <c r="AC31" i="16"/>
  <c r="AD31" i="16" s="1"/>
  <c r="AB32" i="16"/>
  <c r="AC32" i="16"/>
  <c r="AD32" i="16" s="1"/>
  <c r="AB33" i="16"/>
  <c r="AC33" i="16"/>
  <c r="AD33" i="16" s="1"/>
  <c r="AB34" i="16"/>
  <c r="AC34" i="16"/>
  <c r="AD34" i="16"/>
  <c r="AB35" i="16"/>
  <c r="AC35" i="16"/>
  <c r="AD35" i="16" s="1"/>
  <c r="AB36" i="16"/>
  <c r="AC36" i="16"/>
  <c r="AD36" i="16" s="1"/>
  <c r="AB37" i="16"/>
  <c r="AC37" i="16"/>
  <c r="AD37" i="16" s="1"/>
  <c r="AB38" i="16"/>
  <c r="AC38" i="16"/>
  <c r="AD38" i="16"/>
  <c r="AB39" i="16"/>
  <c r="AC39" i="16"/>
  <c r="AD39" i="16" s="1"/>
  <c r="AB40" i="16"/>
  <c r="AC40" i="16"/>
  <c r="AD40" i="16" s="1"/>
  <c r="AB41" i="16"/>
  <c r="AC41" i="16"/>
  <c r="AD41" i="16" s="1"/>
  <c r="AB42" i="16"/>
  <c r="AC42" i="16"/>
  <c r="AD42" i="16"/>
  <c r="AB43" i="16"/>
  <c r="AC43" i="16"/>
  <c r="AD43" i="16" s="1"/>
  <c r="AB44" i="16"/>
  <c r="AC44" i="16"/>
  <c r="AD44" i="16" s="1"/>
  <c r="AB45" i="16"/>
  <c r="AC45" i="16"/>
  <c r="AD45" i="16" s="1"/>
  <c r="AB7" i="14"/>
  <c r="AC7" i="14"/>
  <c r="AD7" i="14" s="1"/>
  <c r="AB8" i="14"/>
  <c r="AC8" i="14"/>
  <c r="AD8" i="14" s="1"/>
  <c r="AB9" i="14"/>
  <c r="AC9" i="14"/>
  <c r="AD9" i="14" s="1"/>
  <c r="AB10" i="14"/>
  <c r="AC10" i="14"/>
  <c r="AD10" i="14"/>
  <c r="AB11" i="14"/>
  <c r="AC11" i="14"/>
  <c r="AD11" i="14"/>
  <c r="AB12" i="14"/>
  <c r="AC12" i="14"/>
  <c r="AD12" i="14" s="1"/>
  <c r="AB13" i="14"/>
  <c r="AC13" i="14"/>
  <c r="AD13" i="14" s="1"/>
  <c r="AB14" i="14"/>
  <c r="AC14" i="14"/>
  <c r="AD14" i="14"/>
  <c r="AB15" i="14"/>
  <c r="AC15" i="14"/>
  <c r="AD15" i="14"/>
  <c r="AB16" i="14"/>
  <c r="AC16" i="14"/>
  <c r="AD16" i="14" s="1"/>
  <c r="AB17" i="14"/>
  <c r="AC17" i="14"/>
  <c r="AD17" i="14" s="1"/>
  <c r="AB18" i="14"/>
  <c r="AC18" i="14"/>
  <c r="AD18" i="14"/>
  <c r="AB19" i="14"/>
  <c r="AC19" i="14"/>
  <c r="AD19" i="14"/>
  <c r="AB20" i="14"/>
  <c r="AC20" i="14"/>
  <c r="AD20" i="14" s="1"/>
  <c r="AB21" i="14"/>
  <c r="AC21" i="14"/>
  <c r="AD21" i="14" s="1"/>
  <c r="AB22" i="14"/>
  <c r="AC22" i="14"/>
  <c r="AD22" i="14"/>
  <c r="AB23" i="14"/>
  <c r="AC23" i="14"/>
  <c r="AD23" i="14"/>
  <c r="AB24" i="14"/>
  <c r="AC24" i="14"/>
  <c r="AD24" i="14" s="1"/>
  <c r="AB25" i="14"/>
  <c r="AC25" i="14"/>
  <c r="AD25" i="14" s="1"/>
  <c r="AB26" i="14"/>
  <c r="AC26" i="14"/>
  <c r="AD26" i="14"/>
  <c r="AB27" i="14"/>
  <c r="AC27" i="14"/>
  <c r="AD27" i="14"/>
  <c r="AB28" i="14"/>
  <c r="AC28" i="14"/>
  <c r="AD28" i="14" s="1"/>
  <c r="AB29" i="14"/>
  <c r="AC29" i="14"/>
  <c r="AD29" i="14" s="1"/>
  <c r="AB30" i="14"/>
  <c r="AC30" i="14"/>
  <c r="AD30" i="14"/>
  <c r="AB31" i="14"/>
  <c r="AC31" i="14"/>
  <c r="AD31" i="14"/>
  <c r="AB32" i="14"/>
  <c r="AC32" i="14"/>
  <c r="AD32" i="14" s="1"/>
  <c r="AB33" i="14"/>
  <c r="AC33" i="14"/>
  <c r="AD33" i="14" s="1"/>
  <c r="AB34" i="14"/>
  <c r="AC34" i="14"/>
  <c r="AD34" i="14"/>
  <c r="AB35" i="14"/>
  <c r="AC35" i="14"/>
  <c r="AD35" i="14"/>
  <c r="AB36" i="14"/>
  <c r="AC36" i="14"/>
  <c r="AD36" i="14" s="1"/>
  <c r="AB37" i="14"/>
  <c r="AC37" i="14"/>
  <c r="AD37" i="14" s="1"/>
  <c r="AB38" i="14"/>
  <c r="AC38" i="14"/>
  <c r="AD38" i="14"/>
  <c r="AB39" i="14"/>
  <c r="AC39" i="14"/>
  <c r="AD39" i="14"/>
  <c r="AB40" i="14"/>
  <c r="AC40" i="14"/>
  <c r="AD40" i="14" s="1"/>
  <c r="AB41" i="14"/>
  <c r="AC41" i="14"/>
  <c r="AD41" i="14" s="1"/>
  <c r="AB42" i="14"/>
  <c r="AC42" i="14"/>
  <c r="AD42" i="14"/>
  <c r="AB43" i="14"/>
  <c r="AC43" i="14"/>
  <c r="AD43" i="14"/>
  <c r="AB44" i="14"/>
  <c r="AC44" i="14"/>
  <c r="AD44" i="14" s="1"/>
  <c r="AB45" i="14"/>
  <c r="AC45" i="14"/>
  <c r="AD45" i="14" s="1"/>
  <c r="AB7" i="13"/>
  <c r="AC7" i="13"/>
  <c r="AD7" i="13" s="1"/>
  <c r="AB8" i="13"/>
  <c r="AC8" i="13"/>
  <c r="AD8" i="13" s="1"/>
  <c r="AB9" i="13"/>
  <c r="AC9" i="13"/>
  <c r="AD9" i="13"/>
  <c r="AB10" i="13"/>
  <c r="AC10" i="13"/>
  <c r="AD10" i="13"/>
  <c r="AB11" i="13"/>
  <c r="AC11" i="13"/>
  <c r="AD11" i="13" s="1"/>
  <c r="AB12" i="13"/>
  <c r="AC12" i="13"/>
  <c r="AD12" i="13" s="1"/>
  <c r="AB13" i="13"/>
  <c r="AC13" i="13"/>
  <c r="AD13" i="13"/>
  <c r="AB14" i="13"/>
  <c r="AC14" i="13"/>
  <c r="AD14" i="13"/>
  <c r="AB15" i="13"/>
  <c r="AC15" i="13"/>
  <c r="AD15" i="13" s="1"/>
  <c r="AB16" i="13"/>
  <c r="AC16" i="13"/>
  <c r="AD16" i="13" s="1"/>
  <c r="AB17" i="13"/>
  <c r="AC17" i="13"/>
  <c r="AD17" i="13"/>
  <c r="AB18" i="13"/>
  <c r="AC18" i="13"/>
  <c r="AD18" i="13"/>
  <c r="AB19" i="13"/>
  <c r="AC19" i="13"/>
  <c r="AD19" i="13" s="1"/>
  <c r="AB20" i="13"/>
  <c r="AC20" i="13"/>
  <c r="AD20" i="13" s="1"/>
  <c r="AB21" i="13"/>
  <c r="AC21" i="13"/>
  <c r="AD21" i="13"/>
  <c r="AB22" i="13"/>
  <c r="AC22" i="13"/>
  <c r="AD22" i="13"/>
  <c r="AB23" i="13"/>
  <c r="AC23" i="13"/>
  <c r="AD23" i="13"/>
  <c r="AB24" i="13"/>
  <c r="AC24" i="13"/>
  <c r="AD24" i="13" s="1"/>
  <c r="AB25" i="13"/>
  <c r="AC25" i="13"/>
  <c r="AD25" i="13"/>
  <c r="AB26" i="13"/>
  <c r="AC26" i="13"/>
  <c r="AD26" i="13"/>
  <c r="AB27" i="13"/>
  <c r="AC27" i="13"/>
  <c r="AD27" i="13"/>
  <c r="AB28" i="13"/>
  <c r="AC28" i="13"/>
  <c r="AD28" i="13" s="1"/>
  <c r="AB29" i="13"/>
  <c r="AC29" i="13"/>
  <c r="AD29" i="13"/>
  <c r="AB30" i="13"/>
  <c r="AC30" i="13"/>
  <c r="AD30" i="13"/>
  <c r="AB31" i="13"/>
  <c r="AC31" i="13"/>
  <c r="AD31" i="13"/>
  <c r="AB32" i="13"/>
  <c r="AC32" i="13"/>
  <c r="AD32" i="13" s="1"/>
  <c r="AB33" i="13"/>
  <c r="AC33" i="13"/>
  <c r="AD33" i="13"/>
  <c r="AB34" i="13"/>
  <c r="AC34" i="13"/>
  <c r="AD34" i="13"/>
  <c r="AB35" i="13"/>
  <c r="AC35" i="13"/>
  <c r="AD35" i="13"/>
  <c r="AB36" i="13"/>
  <c r="AC36" i="13"/>
  <c r="AD36" i="13" s="1"/>
  <c r="AB37" i="13"/>
  <c r="AC37" i="13"/>
  <c r="AD37" i="13"/>
  <c r="AB38" i="13"/>
  <c r="AC38" i="13"/>
  <c r="AD38" i="13"/>
  <c r="AB39" i="13"/>
  <c r="AC39" i="13"/>
  <c r="AD39" i="13"/>
  <c r="AB40" i="13"/>
  <c r="AC40" i="13"/>
  <c r="AD40" i="13" s="1"/>
  <c r="AB41" i="13"/>
  <c r="AC41" i="13"/>
  <c r="AD41" i="13"/>
  <c r="AB42" i="13"/>
  <c r="AC42" i="13"/>
  <c r="AD42" i="13"/>
  <c r="AB43" i="13"/>
  <c r="AC43" i="13"/>
  <c r="AD43" i="13"/>
  <c r="AB44" i="13"/>
  <c r="AC44" i="13"/>
  <c r="AD44" i="13" s="1"/>
  <c r="AB45" i="13"/>
  <c r="AC45" i="13"/>
  <c r="AD45" i="13"/>
  <c r="AB7" i="12"/>
  <c r="AC7" i="12"/>
  <c r="AD7" i="12" s="1"/>
  <c r="AB8" i="12"/>
  <c r="AC8" i="12"/>
  <c r="AD8" i="12" s="1"/>
  <c r="AB9" i="12"/>
  <c r="AC9" i="12"/>
  <c r="AD9" i="12"/>
  <c r="AB10" i="12"/>
  <c r="AC10" i="12"/>
  <c r="AD10" i="12"/>
  <c r="AB11" i="12"/>
  <c r="AC11" i="12"/>
  <c r="AD11" i="12" s="1"/>
  <c r="AB12" i="12"/>
  <c r="AC12" i="12"/>
  <c r="AD12" i="12" s="1"/>
  <c r="AB13" i="12"/>
  <c r="AC13" i="12"/>
  <c r="AD13" i="12"/>
  <c r="AB14" i="12"/>
  <c r="AC14" i="12"/>
  <c r="AD14" i="12"/>
  <c r="AB15" i="12"/>
  <c r="AC15" i="12"/>
  <c r="AD15" i="12" s="1"/>
  <c r="AB16" i="12"/>
  <c r="AC16" i="12"/>
  <c r="AD16" i="12" s="1"/>
  <c r="AB17" i="12"/>
  <c r="AC17" i="12"/>
  <c r="AD17" i="12"/>
  <c r="AB18" i="12"/>
  <c r="AC18" i="12"/>
  <c r="AD18" i="12"/>
  <c r="AB19" i="12"/>
  <c r="AC19" i="12"/>
  <c r="AD19" i="12" s="1"/>
  <c r="AB20" i="12"/>
  <c r="AC20" i="12"/>
  <c r="AD20" i="12" s="1"/>
  <c r="AB21" i="12"/>
  <c r="AC21" i="12"/>
  <c r="AD21" i="12"/>
  <c r="AB22" i="12"/>
  <c r="AC22" i="12"/>
  <c r="AD22" i="12"/>
  <c r="AB23" i="12"/>
  <c r="AC23" i="12"/>
  <c r="AD23" i="12" s="1"/>
  <c r="AB24" i="12"/>
  <c r="AC24" i="12"/>
  <c r="AD24" i="12" s="1"/>
  <c r="AB25" i="12"/>
  <c r="AC25" i="12"/>
  <c r="AD25" i="12"/>
  <c r="AB26" i="12"/>
  <c r="AC26" i="12"/>
  <c r="AD26" i="12"/>
  <c r="AB27" i="12"/>
  <c r="AC27" i="12"/>
  <c r="AD27" i="12" s="1"/>
  <c r="AB28" i="12"/>
  <c r="AC28" i="12"/>
  <c r="AD28" i="12" s="1"/>
  <c r="AB29" i="12"/>
  <c r="AC29" i="12"/>
  <c r="AD29" i="12"/>
  <c r="AB30" i="12"/>
  <c r="AC30" i="12"/>
  <c r="AD30" i="12"/>
  <c r="AB31" i="12"/>
  <c r="AC31" i="12"/>
  <c r="AD31" i="12" s="1"/>
  <c r="AB32" i="12"/>
  <c r="AC32" i="12"/>
  <c r="AD32" i="12" s="1"/>
  <c r="AB33" i="12"/>
  <c r="AC33" i="12"/>
  <c r="AD33" i="12"/>
  <c r="AB34" i="12"/>
  <c r="AC34" i="12"/>
  <c r="AD34" i="12"/>
  <c r="AB35" i="12"/>
  <c r="AC35" i="12"/>
  <c r="AD35" i="12" s="1"/>
  <c r="AB36" i="12"/>
  <c r="AC36" i="12"/>
  <c r="AD36" i="12" s="1"/>
  <c r="AB37" i="12"/>
  <c r="AC37" i="12"/>
  <c r="AD37" i="12"/>
  <c r="AB38" i="12"/>
  <c r="AC38" i="12"/>
  <c r="AD38" i="12"/>
  <c r="AB39" i="12"/>
  <c r="AC39" i="12"/>
  <c r="AD39" i="12" s="1"/>
  <c r="AB40" i="12"/>
  <c r="AC40" i="12"/>
  <c r="AD40" i="12" s="1"/>
  <c r="AB41" i="12"/>
  <c r="AC41" i="12"/>
  <c r="AD41" i="12"/>
  <c r="AB42" i="12"/>
  <c r="AC42" i="12"/>
  <c r="AD42" i="12"/>
  <c r="AB43" i="12"/>
  <c r="AC43" i="12"/>
  <c r="AD43" i="12" s="1"/>
  <c r="AB44" i="12"/>
  <c r="AC44" i="12"/>
  <c r="AD44" i="12" s="1"/>
  <c r="AB45" i="12"/>
  <c r="AC45" i="12"/>
  <c r="AD45" i="12"/>
  <c r="AB7" i="11"/>
  <c r="AC7" i="11"/>
  <c r="AD7" i="11" s="1"/>
  <c r="AB8" i="11"/>
  <c r="AC8" i="11"/>
  <c r="AD8" i="11" s="1"/>
  <c r="AB9" i="11"/>
  <c r="AC9" i="11"/>
  <c r="AD9" i="11"/>
  <c r="AB10" i="11"/>
  <c r="AC10" i="11"/>
  <c r="AD10" i="11" s="1"/>
  <c r="AB11" i="11"/>
  <c r="AC11" i="11"/>
  <c r="AD11" i="11" s="1"/>
  <c r="AB12" i="11"/>
  <c r="AC12" i="11"/>
  <c r="AD12" i="11" s="1"/>
  <c r="AB13" i="11"/>
  <c r="AC13" i="11"/>
  <c r="AD13" i="11"/>
  <c r="AB14" i="11"/>
  <c r="AC14" i="11"/>
  <c r="AD14" i="11"/>
  <c r="AB15" i="11"/>
  <c r="AC15" i="11"/>
  <c r="AD15" i="11" s="1"/>
  <c r="AB16" i="11"/>
  <c r="AC16" i="11"/>
  <c r="AD16" i="11" s="1"/>
  <c r="AB17" i="11"/>
  <c r="AC17" i="11"/>
  <c r="AD17" i="11"/>
  <c r="AB18" i="11"/>
  <c r="AC18" i="11"/>
  <c r="AD18" i="11"/>
  <c r="AB19" i="11"/>
  <c r="AC19" i="11"/>
  <c r="AD19" i="11" s="1"/>
  <c r="AB20" i="11"/>
  <c r="AC20" i="11"/>
  <c r="AD20" i="11" s="1"/>
  <c r="AB21" i="11"/>
  <c r="AC21" i="11"/>
  <c r="AD21" i="11"/>
  <c r="AB22" i="11"/>
  <c r="AC22" i="11"/>
  <c r="AD22" i="11"/>
  <c r="AB23" i="11"/>
  <c r="AC23" i="11"/>
  <c r="AD23" i="11" s="1"/>
  <c r="AB24" i="11"/>
  <c r="AC24" i="11"/>
  <c r="AD24" i="11" s="1"/>
  <c r="AB25" i="11"/>
  <c r="AC25" i="11"/>
  <c r="AD25" i="11"/>
  <c r="AB26" i="11"/>
  <c r="AC26" i="11"/>
  <c r="AD26" i="11"/>
  <c r="AB27" i="11"/>
  <c r="AC27" i="11"/>
  <c r="AD27" i="11" s="1"/>
  <c r="AB28" i="11"/>
  <c r="AC28" i="11"/>
  <c r="AD28" i="11" s="1"/>
  <c r="AB29" i="11"/>
  <c r="AC29" i="11"/>
  <c r="AD29" i="11"/>
  <c r="AB30" i="11"/>
  <c r="AC30" i="11"/>
  <c r="AD30" i="11"/>
  <c r="AB31" i="11"/>
  <c r="AC31" i="11"/>
  <c r="AD31" i="11" s="1"/>
  <c r="AB32" i="11"/>
  <c r="AC32" i="11"/>
  <c r="AD32" i="11" s="1"/>
  <c r="AB33" i="11"/>
  <c r="AC33" i="11"/>
  <c r="AD33" i="11"/>
  <c r="AB34" i="11"/>
  <c r="AC34" i="11"/>
  <c r="AD34" i="11"/>
  <c r="AB35" i="11"/>
  <c r="AC35" i="11"/>
  <c r="AD35" i="11" s="1"/>
  <c r="AB36" i="11"/>
  <c r="AC36" i="11"/>
  <c r="AD36" i="11" s="1"/>
  <c r="AB37" i="11"/>
  <c r="AC37" i="11"/>
  <c r="AD37" i="11"/>
  <c r="AB38" i="11"/>
  <c r="AC38" i="11"/>
  <c r="AD38" i="11"/>
  <c r="AB39" i="11"/>
  <c r="AC39" i="11"/>
  <c r="AD39" i="11" s="1"/>
  <c r="AB40" i="11"/>
  <c r="AC40" i="11"/>
  <c r="AD40" i="11" s="1"/>
  <c r="AB41" i="11"/>
  <c r="AC41" i="11"/>
  <c r="AD41" i="11"/>
  <c r="AB42" i="11"/>
  <c r="AC42" i="11"/>
  <c r="AD42" i="11"/>
  <c r="AB43" i="11"/>
  <c r="AC43" i="11"/>
  <c r="AD43" i="11" s="1"/>
  <c r="AB44" i="11"/>
  <c r="AC44" i="11"/>
  <c r="AD44" i="11" s="1"/>
  <c r="AB45" i="11"/>
  <c r="AC45" i="11"/>
  <c r="AD45" i="11"/>
  <c r="AB7" i="10"/>
  <c r="AC7" i="10"/>
  <c r="AD7" i="10" s="1"/>
  <c r="AB8" i="10"/>
  <c r="AC8" i="10"/>
  <c r="AD8" i="10" s="1"/>
  <c r="AB9" i="10"/>
  <c r="AC9" i="10"/>
  <c r="AD9" i="10"/>
  <c r="AB10" i="10"/>
  <c r="AC10" i="10"/>
  <c r="AD10" i="10"/>
  <c r="AB11" i="10"/>
  <c r="AC11" i="10"/>
  <c r="AD11" i="10" s="1"/>
  <c r="AB12" i="10"/>
  <c r="AC12" i="10"/>
  <c r="AD12" i="10" s="1"/>
  <c r="AB13" i="10"/>
  <c r="AC13" i="10"/>
  <c r="AD13" i="10"/>
  <c r="AB14" i="10"/>
  <c r="AC14" i="10"/>
  <c r="AD14" i="10"/>
  <c r="AB15" i="10"/>
  <c r="AC15" i="10"/>
  <c r="AD15" i="10" s="1"/>
  <c r="AB16" i="10"/>
  <c r="AC16" i="10"/>
  <c r="AD16" i="10" s="1"/>
  <c r="AB17" i="10"/>
  <c r="AC17" i="10"/>
  <c r="AD17" i="10"/>
  <c r="AB18" i="10"/>
  <c r="AC18" i="10"/>
  <c r="AD18" i="10"/>
  <c r="AB19" i="10"/>
  <c r="AC19" i="10"/>
  <c r="AD19" i="10" s="1"/>
  <c r="AB20" i="10"/>
  <c r="AC20" i="10"/>
  <c r="AD20" i="10" s="1"/>
  <c r="AB21" i="10"/>
  <c r="AC21" i="10"/>
  <c r="AD21" i="10"/>
  <c r="AB22" i="10"/>
  <c r="AC22" i="10"/>
  <c r="AD22" i="10"/>
  <c r="AB23" i="10"/>
  <c r="AC23" i="10"/>
  <c r="AD23" i="10" s="1"/>
  <c r="AB24" i="10"/>
  <c r="AC24" i="10"/>
  <c r="AD24" i="10" s="1"/>
  <c r="AB25" i="10"/>
  <c r="AC25" i="10"/>
  <c r="AD25" i="10"/>
  <c r="AB26" i="10"/>
  <c r="AC26" i="10"/>
  <c r="AD26" i="10"/>
  <c r="AB27" i="10"/>
  <c r="AC27" i="10"/>
  <c r="AD27" i="10" s="1"/>
  <c r="AB28" i="10"/>
  <c r="AC28" i="10"/>
  <c r="AD28" i="10" s="1"/>
  <c r="AB29" i="10"/>
  <c r="AC29" i="10"/>
  <c r="AD29" i="10"/>
  <c r="AB30" i="10"/>
  <c r="AC30" i="10"/>
  <c r="AD30" i="10"/>
  <c r="AB31" i="10"/>
  <c r="AC31" i="10"/>
  <c r="AD31" i="10" s="1"/>
  <c r="AB32" i="10"/>
  <c r="AC32" i="10"/>
  <c r="AD32" i="10" s="1"/>
  <c r="AB33" i="10"/>
  <c r="AC33" i="10"/>
  <c r="AD33" i="10"/>
  <c r="AB34" i="10"/>
  <c r="AC34" i="10"/>
  <c r="AD34" i="10"/>
  <c r="AB35" i="10"/>
  <c r="AC35" i="10"/>
  <c r="AD35" i="10" s="1"/>
  <c r="AB36" i="10"/>
  <c r="AC36" i="10"/>
  <c r="AD36" i="10" s="1"/>
  <c r="AB37" i="10"/>
  <c r="AC37" i="10"/>
  <c r="AD37" i="10"/>
  <c r="AB38" i="10"/>
  <c r="AC38" i="10"/>
  <c r="AD38" i="10"/>
  <c r="AB39" i="10"/>
  <c r="AC39" i="10"/>
  <c r="AD39" i="10" s="1"/>
  <c r="AB40" i="10"/>
  <c r="AC40" i="10"/>
  <c r="AD40" i="10" s="1"/>
  <c r="AB41" i="10"/>
  <c r="AC41" i="10"/>
  <c r="AD41" i="10"/>
  <c r="AB42" i="10"/>
  <c r="AC42" i="10"/>
  <c r="AD42" i="10"/>
  <c r="AB43" i="10"/>
  <c r="AC43" i="10"/>
  <c r="AD43" i="10" s="1"/>
  <c r="AB44" i="10"/>
  <c r="AC44" i="10"/>
  <c r="AD44" i="10" s="1"/>
  <c r="AB45" i="10"/>
  <c r="AC45" i="10"/>
  <c r="AD45" i="10"/>
  <c r="AB7" i="7"/>
  <c r="AC7" i="7"/>
  <c r="AD7" i="7" s="1"/>
  <c r="AB8" i="7"/>
  <c r="AC8" i="7"/>
  <c r="AD8" i="7"/>
  <c r="AB9" i="7"/>
  <c r="AC9" i="7"/>
  <c r="AD9" i="7"/>
  <c r="AB10" i="7"/>
  <c r="AC10" i="7"/>
  <c r="AD10" i="7" s="1"/>
  <c r="AB11" i="7"/>
  <c r="AC11" i="7"/>
  <c r="AD11" i="7" s="1"/>
  <c r="AB12" i="7"/>
  <c r="AC12" i="7"/>
  <c r="AD12" i="7"/>
  <c r="AB13" i="7"/>
  <c r="AC13" i="7"/>
  <c r="AD13" i="7"/>
  <c r="AB14" i="7"/>
  <c r="AC14" i="7"/>
  <c r="AD14" i="7" s="1"/>
  <c r="AB15" i="7"/>
  <c r="AC15" i="7"/>
  <c r="AD15" i="7" s="1"/>
  <c r="AB16" i="7"/>
  <c r="AC16" i="7"/>
  <c r="AD16" i="7"/>
  <c r="AB17" i="7"/>
  <c r="AC17" i="7"/>
  <c r="AD17" i="7"/>
  <c r="AB18" i="7"/>
  <c r="AC18" i="7"/>
  <c r="AD18" i="7" s="1"/>
  <c r="AB19" i="7"/>
  <c r="AC19" i="7"/>
  <c r="AD19" i="7" s="1"/>
  <c r="AB20" i="7"/>
  <c r="AC20" i="7"/>
  <c r="AD20" i="7" s="1"/>
  <c r="AB21" i="7"/>
  <c r="AC21" i="7"/>
  <c r="AD21" i="7"/>
  <c r="AB22" i="7"/>
  <c r="AC22" i="7"/>
  <c r="AD22" i="7" s="1"/>
  <c r="AB23" i="7"/>
  <c r="AC23" i="7"/>
  <c r="AD23" i="7" s="1"/>
  <c r="AB24" i="7"/>
  <c r="AC24" i="7"/>
  <c r="AD24" i="7" s="1"/>
  <c r="AB25" i="7"/>
  <c r="AC25" i="7"/>
  <c r="AD25" i="7"/>
  <c r="AB26" i="7"/>
  <c r="AC26" i="7"/>
  <c r="AD26" i="7" s="1"/>
  <c r="AB27" i="7"/>
  <c r="AC27" i="7"/>
  <c r="AD27" i="7" s="1"/>
  <c r="AB28" i="7"/>
  <c r="AC28" i="7"/>
  <c r="AD28" i="7" s="1"/>
  <c r="AB29" i="7"/>
  <c r="AC29" i="7"/>
  <c r="AD29" i="7"/>
  <c r="AB30" i="7"/>
  <c r="AC30" i="7"/>
  <c r="AD30" i="7"/>
  <c r="AB31" i="7"/>
  <c r="AC31" i="7"/>
  <c r="AD31" i="7" s="1"/>
  <c r="AB32" i="7"/>
  <c r="AC32" i="7"/>
  <c r="AD32" i="7" s="1"/>
  <c r="AB33" i="7"/>
  <c r="AC33" i="7"/>
  <c r="AD33" i="7"/>
  <c r="AB34" i="7"/>
  <c r="AC34" i="7"/>
  <c r="AD34" i="7"/>
  <c r="AB35" i="7"/>
  <c r="AC35" i="7"/>
  <c r="AD35" i="7" s="1"/>
  <c r="AB36" i="7"/>
  <c r="AC36" i="7"/>
  <c r="AD36" i="7" s="1"/>
  <c r="AB37" i="7"/>
  <c r="AC37" i="7"/>
  <c r="AD37" i="7"/>
  <c r="AB38" i="7"/>
  <c r="AC38" i="7"/>
  <c r="AD38" i="7"/>
  <c r="AB39" i="7"/>
  <c r="AC39" i="7"/>
  <c r="AD39" i="7" s="1"/>
  <c r="AB40" i="7"/>
  <c r="AC40" i="7"/>
  <c r="AD40" i="7" s="1"/>
  <c r="AB41" i="7"/>
  <c r="AC41" i="7"/>
  <c r="AD41" i="7"/>
  <c r="AB42" i="7"/>
  <c r="AC42" i="7"/>
  <c r="AD42" i="7"/>
  <c r="AB43" i="7"/>
  <c r="AC43" i="7"/>
  <c r="AD43" i="7" s="1"/>
  <c r="AB44" i="7"/>
  <c r="AC44" i="7"/>
  <c r="AD44" i="7" s="1"/>
  <c r="AB45" i="7"/>
  <c r="AC45" i="7"/>
  <c r="AD45" i="7"/>
  <c r="AB7" i="6"/>
  <c r="AC7" i="6" s="1"/>
  <c r="AB8" i="6"/>
  <c r="AC8" i="6"/>
  <c r="AD8" i="6" s="1"/>
  <c r="AB9" i="6"/>
  <c r="AC9" i="6"/>
  <c r="AD9" i="6" s="1"/>
  <c r="AB10" i="6"/>
  <c r="AC10" i="6"/>
  <c r="AD10" i="6"/>
  <c r="AB11" i="6"/>
  <c r="AC11" i="6"/>
  <c r="AD11" i="6" s="1"/>
  <c r="AB12" i="6"/>
  <c r="AC12" i="6" s="1"/>
  <c r="AB13" i="6"/>
  <c r="AC13" i="6"/>
  <c r="AD13" i="6" s="1"/>
  <c r="AB14" i="6"/>
  <c r="AC14" i="6"/>
  <c r="AD14" i="6"/>
  <c r="AB15" i="6"/>
  <c r="AC15" i="6"/>
  <c r="AD15" i="6" s="1"/>
  <c r="AB16" i="6"/>
  <c r="AC16" i="6"/>
  <c r="AD16" i="6" s="1"/>
  <c r="AB17" i="6"/>
  <c r="AC17" i="6"/>
  <c r="AD17" i="6" s="1"/>
  <c r="AB18" i="6"/>
  <c r="AC18" i="6"/>
  <c r="AD18" i="6"/>
  <c r="AB19" i="6"/>
  <c r="AC19" i="6"/>
  <c r="AD19" i="6" s="1"/>
  <c r="AB20" i="6"/>
  <c r="AC20" i="6"/>
  <c r="AD20" i="6" s="1"/>
  <c r="AB21" i="6"/>
  <c r="AC21" i="6"/>
  <c r="AD21" i="6" s="1"/>
  <c r="AB22" i="6"/>
  <c r="AC22" i="6"/>
  <c r="AD22" i="6"/>
  <c r="AB23" i="6"/>
  <c r="AC23" i="6"/>
  <c r="AD23" i="6" s="1"/>
  <c r="AB24" i="6"/>
  <c r="AC24" i="6"/>
  <c r="AD24" i="6" s="1"/>
  <c r="AB25" i="6"/>
  <c r="AC25" i="6"/>
  <c r="AD25" i="6" s="1"/>
  <c r="AB26" i="6"/>
  <c r="AC26" i="6"/>
  <c r="AD26" i="6"/>
  <c r="AB27" i="6"/>
  <c r="AC27" i="6"/>
  <c r="AD27" i="6" s="1"/>
  <c r="AB28" i="6"/>
  <c r="AC28" i="6"/>
  <c r="AD28" i="6" s="1"/>
  <c r="AB29" i="6"/>
  <c r="AC29" i="6"/>
  <c r="AD29" i="6" s="1"/>
  <c r="AB30" i="6"/>
  <c r="AC30" i="6"/>
  <c r="AD30" i="6"/>
  <c r="AB31" i="6"/>
  <c r="AC31" i="6"/>
  <c r="AD31" i="6"/>
  <c r="AB32" i="6"/>
  <c r="AC32" i="6"/>
  <c r="AD32" i="6" s="1"/>
  <c r="AB33" i="6"/>
  <c r="AC33" i="6"/>
  <c r="AD33" i="6" s="1"/>
  <c r="AB34" i="6"/>
  <c r="AC34" i="6"/>
  <c r="AD34" i="6"/>
  <c r="AB35" i="6"/>
  <c r="AC35" i="6"/>
  <c r="AD35" i="6"/>
  <c r="AB36" i="6"/>
  <c r="AC36" i="6"/>
  <c r="AD36" i="6" s="1"/>
  <c r="AB37" i="6"/>
  <c r="AC37" i="6"/>
  <c r="AD37" i="6" s="1"/>
  <c r="AB38" i="6"/>
  <c r="AC38" i="6"/>
  <c r="AD38" i="6"/>
  <c r="AB39" i="6"/>
  <c r="AC39" i="6"/>
  <c r="AD39" i="6"/>
  <c r="AB40" i="6"/>
  <c r="AC40" i="6"/>
  <c r="AD40" i="6" s="1"/>
  <c r="AB41" i="6"/>
  <c r="AC41" i="6"/>
  <c r="AD41" i="6" s="1"/>
  <c r="AB42" i="6"/>
  <c r="AC42" i="6"/>
  <c r="AD42" i="6"/>
  <c r="AB43" i="6"/>
  <c r="AC43" i="6"/>
  <c r="AD43" i="6"/>
  <c r="AB44" i="6"/>
  <c r="AC44" i="6"/>
  <c r="AD44" i="6" s="1"/>
  <c r="AB45" i="6"/>
  <c r="AC45" i="6"/>
  <c r="AD45" i="6" s="1"/>
  <c r="AB7" i="4"/>
  <c r="AC7" i="4"/>
  <c r="AD7" i="4" s="1"/>
  <c r="AB8" i="4"/>
  <c r="AC8" i="4"/>
  <c r="AD8" i="4"/>
  <c r="AB9" i="4"/>
  <c r="AC9" i="4"/>
  <c r="AD9" i="4"/>
  <c r="AB10" i="4"/>
  <c r="AC10" i="4"/>
  <c r="AD10" i="4" s="1"/>
  <c r="AB11" i="4"/>
  <c r="AC11" i="4"/>
  <c r="AD11" i="4" s="1"/>
  <c r="AB12" i="4"/>
  <c r="AC12" i="4"/>
  <c r="AD12" i="4"/>
  <c r="AB13" i="4"/>
  <c r="AC13" i="4"/>
  <c r="AD13" i="4"/>
  <c r="AB14" i="4"/>
  <c r="AC14" i="4"/>
  <c r="AD14" i="4" s="1"/>
  <c r="AB15" i="4"/>
  <c r="AC15" i="4"/>
  <c r="AD15" i="4" s="1"/>
  <c r="AB16" i="4"/>
  <c r="AC16" i="4"/>
  <c r="AD16" i="4"/>
  <c r="AB17" i="4"/>
  <c r="AC17" i="4"/>
  <c r="AD17" i="4"/>
  <c r="AB18" i="4"/>
  <c r="AC18" i="4"/>
  <c r="AD18" i="4" s="1"/>
  <c r="AB19" i="4"/>
  <c r="AC19" i="4"/>
  <c r="AD19" i="4" s="1"/>
  <c r="AB20" i="4"/>
  <c r="AC20" i="4"/>
  <c r="AD20" i="4" s="1"/>
  <c r="AB21" i="4"/>
  <c r="AC21" i="4"/>
  <c r="AD21" i="4"/>
  <c r="AB22" i="4"/>
  <c r="AC22" i="4"/>
  <c r="AD22" i="4" s="1"/>
  <c r="AB23" i="4"/>
  <c r="AC23" i="4"/>
  <c r="AD23" i="4" s="1"/>
  <c r="AB24" i="4"/>
  <c r="AC24" i="4"/>
  <c r="AD24" i="4" s="1"/>
  <c r="AB25" i="4"/>
  <c r="AC25" i="4"/>
  <c r="AD25" i="4"/>
  <c r="AB26" i="4"/>
  <c r="AC26" i="4"/>
  <c r="AD26" i="4" s="1"/>
  <c r="AB27" i="4"/>
  <c r="AC27" i="4"/>
  <c r="AD27" i="4" s="1"/>
  <c r="AB28" i="4"/>
  <c r="AC28" i="4"/>
  <c r="AD28" i="4" s="1"/>
  <c r="AB29" i="4"/>
  <c r="AC29" i="4"/>
  <c r="AD29" i="4"/>
  <c r="AB30" i="4"/>
  <c r="AC30" i="4"/>
  <c r="AD30" i="4"/>
  <c r="AB31" i="4"/>
  <c r="AC31" i="4"/>
  <c r="AD31" i="4" s="1"/>
  <c r="AB32" i="4"/>
  <c r="AC32" i="4"/>
  <c r="AD32" i="4" s="1"/>
  <c r="AB33" i="4"/>
  <c r="AC33" i="4"/>
  <c r="AD33" i="4"/>
  <c r="AB34" i="4"/>
  <c r="AC34" i="4"/>
  <c r="AD34" i="4"/>
  <c r="AB35" i="4"/>
  <c r="AC35" i="4"/>
  <c r="AD35" i="4" s="1"/>
  <c r="AB36" i="4"/>
  <c r="AC36" i="4"/>
  <c r="AD36" i="4" s="1"/>
  <c r="AB37" i="4"/>
  <c r="AC37" i="4"/>
  <c r="AD37" i="4"/>
  <c r="AB38" i="4"/>
  <c r="AC38" i="4"/>
  <c r="AD38" i="4"/>
  <c r="AB39" i="4"/>
  <c r="AC39" i="4"/>
  <c r="AD39" i="4" s="1"/>
  <c r="AB40" i="4"/>
  <c r="AC40" i="4"/>
  <c r="AD40" i="4" s="1"/>
  <c r="AB41" i="4"/>
  <c r="AC41" i="4"/>
  <c r="AD41" i="4"/>
  <c r="AB42" i="4"/>
  <c r="AC42" i="4"/>
  <c r="AD42" i="4"/>
  <c r="AB43" i="4"/>
  <c r="AC43" i="4"/>
  <c r="AD43" i="4" s="1"/>
  <c r="AB44" i="4"/>
  <c r="AC44" i="4"/>
  <c r="AD44" i="4" s="1"/>
  <c r="AB45" i="4"/>
  <c r="AC45" i="4"/>
  <c r="AD45" i="4"/>
  <c r="AB7" i="5"/>
  <c r="AC7" i="5"/>
  <c r="AD7" i="5" s="1"/>
  <c r="AB8" i="5"/>
  <c r="AC8" i="5"/>
  <c r="AD8" i="5" s="1"/>
  <c r="AB9" i="5"/>
  <c r="AC9" i="5"/>
  <c r="AD9" i="5"/>
  <c r="AB10" i="5"/>
  <c r="AC10" i="5"/>
  <c r="AD10" i="5" s="1"/>
  <c r="AB11" i="5"/>
  <c r="AC11" i="5" s="1"/>
  <c r="AB12" i="5"/>
  <c r="AC12" i="5"/>
  <c r="AD12" i="5" s="1"/>
  <c r="AB13" i="5"/>
  <c r="AC13" i="5"/>
  <c r="AD13" i="5"/>
  <c r="AB14" i="5"/>
  <c r="AC14" i="5"/>
  <c r="AD14" i="5" s="1"/>
  <c r="AB15" i="5"/>
  <c r="AC15" i="5"/>
  <c r="AD15" i="5" s="1"/>
  <c r="AB16" i="5"/>
  <c r="AC16" i="5"/>
  <c r="AD16" i="5" s="1"/>
  <c r="AB17" i="5"/>
  <c r="AC17" i="5"/>
  <c r="AD17" i="5"/>
  <c r="AB18" i="5"/>
  <c r="AC18" i="5"/>
  <c r="AD18" i="5" s="1"/>
  <c r="AB19" i="5"/>
  <c r="AC19" i="5"/>
  <c r="AD19" i="5" s="1"/>
  <c r="AB20" i="5"/>
  <c r="AC20" i="5"/>
  <c r="AD20" i="5" s="1"/>
  <c r="AB21" i="5"/>
  <c r="AC21" i="5" s="1"/>
  <c r="AB22" i="5"/>
  <c r="AC22" i="5"/>
  <c r="AD22" i="5" s="1"/>
  <c r="AB23" i="5"/>
  <c r="AC23" i="5"/>
  <c r="AD23" i="5" s="1"/>
  <c r="AB24" i="5"/>
  <c r="AC24" i="5"/>
  <c r="AD24" i="5" s="1"/>
  <c r="AB25" i="5"/>
  <c r="AC25" i="5"/>
  <c r="AD25" i="5"/>
  <c r="AB26" i="5"/>
  <c r="AC26" i="5"/>
  <c r="AD26" i="5" s="1"/>
  <c r="AB27" i="5"/>
  <c r="AC27" i="5" s="1"/>
  <c r="AB28" i="5"/>
  <c r="AC28" i="5"/>
  <c r="AD28" i="5" s="1"/>
  <c r="AB29" i="5"/>
  <c r="AC29" i="5"/>
  <c r="AD29" i="5"/>
  <c r="AB30" i="5"/>
  <c r="AC30" i="5"/>
  <c r="AD30" i="5" s="1"/>
  <c r="AB31" i="5"/>
  <c r="AC31" i="5"/>
  <c r="AD31" i="5"/>
  <c r="AB32" i="5"/>
  <c r="AC32" i="5"/>
  <c r="AD32" i="5" s="1"/>
  <c r="AB33" i="5"/>
  <c r="AC33" i="5"/>
  <c r="AD33" i="5" s="1"/>
  <c r="AB34" i="5"/>
  <c r="AC34" i="5"/>
  <c r="AD34" i="5" s="1"/>
  <c r="AB35" i="5"/>
  <c r="AC35" i="5"/>
  <c r="AD35" i="5"/>
  <c r="AB36" i="5"/>
  <c r="AC36" i="5" s="1"/>
  <c r="AB37" i="5"/>
  <c r="AC37" i="5"/>
  <c r="AD37" i="5"/>
  <c r="AB38" i="5"/>
  <c r="AC38" i="5"/>
  <c r="AD38" i="5" s="1"/>
  <c r="AB39" i="5"/>
  <c r="AC39" i="5"/>
  <c r="AD39" i="5"/>
  <c r="AB40" i="5"/>
  <c r="AC40" i="5"/>
  <c r="AD40" i="5" s="1"/>
  <c r="AB41" i="5"/>
  <c r="AC41" i="5"/>
  <c r="AD41" i="5"/>
  <c r="AB42" i="5"/>
  <c r="AC42" i="5"/>
  <c r="AD42" i="5" s="1"/>
  <c r="AB43" i="5"/>
  <c r="AC43" i="5"/>
  <c r="AD43" i="5"/>
  <c r="AB44" i="5"/>
  <c r="AC44" i="5"/>
  <c r="AD44" i="5" s="1"/>
  <c r="AB45" i="5"/>
  <c r="AC45" i="5"/>
  <c r="AD45" i="5"/>
  <c r="AB7" i="3"/>
  <c r="AC7" i="3"/>
  <c r="AD7" i="3" s="1"/>
  <c r="AB8" i="3"/>
  <c r="AC8" i="3" s="1"/>
  <c r="AB9" i="3"/>
  <c r="AC9" i="3"/>
  <c r="AD9" i="3"/>
  <c r="AB10" i="3"/>
  <c r="AC10" i="3"/>
  <c r="AD10" i="3" s="1"/>
  <c r="AB11" i="3"/>
  <c r="AC11" i="3"/>
  <c r="AD11" i="3" s="1"/>
  <c r="AB12" i="3"/>
  <c r="AC12" i="3"/>
  <c r="AD12" i="3" s="1"/>
  <c r="AB13" i="3"/>
  <c r="AC13" i="3"/>
  <c r="AD13" i="3"/>
  <c r="AB14" i="3"/>
  <c r="AC14" i="3"/>
  <c r="AD14" i="3"/>
  <c r="AB15" i="3"/>
  <c r="AC15" i="3"/>
  <c r="AD15" i="3" s="1"/>
  <c r="AB16" i="3"/>
  <c r="AC16" i="3"/>
  <c r="AD16" i="3" s="1"/>
  <c r="AB17" i="3"/>
  <c r="AC17" i="3"/>
  <c r="AD17" i="3"/>
  <c r="AB18" i="3"/>
  <c r="AC18" i="3"/>
  <c r="AD18" i="3"/>
  <c r="AB19" i="3"/>
  <c r="AC19" i="3"/>
  <c r="AD19" i="3" s="1"/>
  <c r="AB20" i="3"/>
  <c r="AC20" i="3"/>
  <c r="AD20" i="3" s="1"/>
  <c r="AB21" i="3"/>
  <c r="AC21" i="3"/>
  <c r="AD21" i="3"/>
  <c r="AB22" i="3"/>
  <c r="AC22" i="3"/>
  <c r="AD22" i="3"/>
  <c r="AB23" i="3"/>
  <c r="AC23" i="3"/>
  <c r="AD23" i="3"/>
  <c r="AB24" i="3"/>
  <c r="AC24" i="3"/>
  <c r="AD24" i="3" s="1"/>
  <c r="AB25" i="3"/>
  <c r="AC25" i="3"/>
  <c r="AD25" i="3"/>
  <c r="AB26" i="3"/>
  <c r="AC26" i="3"/>
  <c r="AD26" i="3"/>
  <c r="AB27" i="3"/>
  <c r="AC27" i="3"/>
  <c r="AD27" i="3"/>
  <c r="AB28" i="3"/>
  <c r="AC28" i="3"/>
  <c r="AD28" i="3" s="1"/>
  <c r="AB29" i="3"/>
  <c r="AC29" i="3"/>
  <c r="AD29" i="3"/>
  <c r="AB30" i="3"/>
  <c r="AC30" i="3"/>
  <c r="AD30" i="3"/>
  <c r="AB31" i="3"/>
  <c r="AC31" i="3"/>
  <c r="AD31" i="3"/>
  <c r="AB32" i="3"/>
  <c r="AC32" i="3"/>
  <c r="AD32" i="3" s="1"/>
  <c r="AB33" i="3"/>
  <c r="AC33" i="3"/>
  <c r="AD33" i="3"/>
  <c r="AB34" i="3"/>
  <c r="AC34" i="3"/>
  <c r="AD34" i="3"/>
  <c r="AB35" i="3"/>
  <c r="AC35" i="3"/>
  <c r="AD35" i="3"/>
  <c r="AB36" i="3"/>
  <c r="AC36" i="3"/>
  <c r="AD36" i="3" s="1"/>
  <c r="AB37" i="3"/>
  <c r="AC37" i="3"/>
  <c r="AD37" i="3"/>
  <c r="AB38" i="3"/>
  <c r="AC38" i="3"/>
  <c r="AD38" i="3"/>
  <c r="AB39" i="3"/>
  <c r="AC39" i="3"/>
  <c r="AD39" i="3"/>
  <c r="AB40" i="3"/>
  <c r="AC40" i="3"/>
  <c r="AD40" i="3" s="1"/>
  <c r="AB41" i="3"/>
  <c r="AC41" i="3"/>
  <c r="AD41" i="3"/>
  <c r="AB42" i="3"/>
  <c r="AC42" i="3"/>
  <c r="AD42" i="3"/>
  <c r="AB43" i="3"/>
  <c r="AC43" i="3"/>
  <c r="AD43" i="3"/>
  <c r="AB44" i="3"/>
  <c r="AC44" i="3"/>
  <c r="AD44" i="3" s="1"/>
  <c r="AB45" i="3"/>
  <c r="AC45" i="3"/>
  <c r="AD45" i="3" s="1"/>
  <c r="AB7" i="2"/>
  <c r="AC7" i="2" s="1"/>
  <c r="AB8" i="2"/>
  <c r="AC8" i="2" s="1"/>
  <c r="AB9" i="2"/>
  <c r="AC9" i="2" s="1"/>
  <c r="AD9" i="2" s="1"/>
  <c r="AB10" i="2"/>
  <c r="AC10" i="2" s="1"/>
  <c r="AB11" i="2"/>
  <c r="AC11" i="2" s="1"/>
  <c r="AB12" i="2"/>
  <c r="AC12" i="2"/>
  <c r="AD12" i="2" s="1"/>
  <c r="AB13" i="2"/>
  <c r="AC13" i="2"/>
  <c r="AD13" i="2" s="1"/>
  <c r="AB14" i="2"/>
  <c r="AC14" i="2"/>
  <c r="AD14" i="2" s="1"/>
  <c r="AB15" i="2"/>
  <c r="AC15" i="2"/>
  <c r="AD15" i="2" s="1"/>
  <c r="AB16" i="2"/>
  <c r="AC16" i="2" s="1"/>
  <c r="AB17" i="2"/>
  <c r="AC17" i="2" s="1"/>
  <c r="AB18" i="2"/>
  <c r="AC18" i="2"/>
  <c r="AD18" i="2" s="1"/>
  <c r="AB19" i="2"/>
  <c r="AC19" i="2"/>
  <c r="AD19" i="2" s="1"/>
  <c r="AB20" i="2"/>
  <c r="AC20" i="2"/>
  <c r="AD20" i="2" s="1"/>
  <c r="AB21" i="2"/>
  <c r="AC21" i="2"/>
  <c r="AD21" i="2" s="1"/>
  <c r="AB22" i="2"/>
  <c r="AC22" i="2" s="1"/>
  <c r="AB23" i="2"/>
  <c r="AC23" i="2"/>
  <c r="AD23" i="2" s="1"/>
  <c r="AB24" i="2"/>
  <c r="AC24" i="2"/>
  <c r="AD24" i="2" s="1"/>
  <c r="AB25" i="2"/>
  <c r="AC25" i="2"/>
  <c r="AD25" i="2" s="1"/>
  <c r="AB26" i="2"/>
  <c r="AC26" i="2"/>
  <c r="AD26" i="2" s="1"/>
  <c r="AB27" i="2"/>
  <c r="AC27" i="2"/>
  <c r="AD27" i="2" s="1"/>
  <c r="AB28" i="2"/>
  <c r="AC28" i="2"/>
  <c r="AD28" i="2" s="1"/>
  <c r="AB29" i="2"/>
  <c r="AC29" i="2"/>
  <c r="AD29" i="2" s="1"/>
  <c r="AB30" i="2"/>
  <c r="AC30" i="2"/>
  <c r="AD30" i="2" s="1"/>
  <c r="AB31" i="2"/>
  <c r="AC31" i="2"/>
  <c r="AD31" i="2" s="1"/>
  <c r="AB32" i="2"/>
  <c r="AC32" i="2"/>
  <c r="AD32" i="2" s="1"/>
  <c r="AB33" i="2"/>
  <c r="AC33" i="2"/>
  <c r="AD33" i="2" s="1"/>
  <c r="AB34" i="2"/>
  <c r="AC34" i="2"/>
  <c r="AD34" i="2" s="1"/>
  <c r="AB35" i="2"/>
  <c r="AC35" i="2"/>
  <c r="AD35" i="2" s="1"/>
  <c r="AB36" i="2"/>
  <c r="AC36" i="2"/>
  <c r="AD36" i="2" s="1"/>
  <c r="AB37" i="2"/>
  <c r="AC37" i="2"/>
  <c r="AD37" i="2" s="1"/>
  <c r="AB38" i="2"/>
  <c r="AC38" i="2"/>
  <c r="AD38" i="2" s="1"/>
  <c r="AB39" i="2"/>
  <c r="AC39" i="2"/>
  <c r="AD39" i="2" s="1"/>
  <c r="AB40" i="2"/>
  <c r="AC40" i="2"/>
  <c r="AD40" i="2" s="1"/>
  <c r="AB41" i="2"/>
  <c r="AC41" i="2"/>
  <c r="AD41" i="2" s="1"/>
  <c r="AB42" i="2"/>
  <c r="AC42" i="2"/>
  <c r="AD42" i="2" s="1"/>
  <c r="AB43" i="2"/>
  <c r="AC43" i="2"/>
  <c r="AD43" i="2" s="1"/>
  <c r="AB44" i="2"/>
  <c r="AC44" i="2"/>
  <c r="AD44" i="2" s="1"/>
  <c r="AB45" i="2"/>
  <c r="AC45" i="2"/>
  <c r="AD45" i="2" s="1"/>
  <c r="E34" i="8"/>
  <c r="F7" i="8"/>
  <c r="G7" i="8"/>
  <c r="H7" i="8"/>
  <c r="J7" i="8"/>
  <c r="K7" i="8"/>
  <c r="L7" i="8"/>
  <c r="M7" i="8"/>
  <c r="N7" i="8"/>
  <c r="O7" i="8"/>
  <c r="P7" i="8"/>
  <c r="G8" i="8"/>
  <c r="H8" i="8"/>
  <c r="I8" i="8"/>
  <c r="J8" i="8"/>
  <c r="K8" i="8"/>
  <c r="L8" i="8"/>
  <c r="M8" i="8"/>
  <c r="N8" i="8"/>
  <c r="O8" i="8"/>
  <c r="P8" i="8"/>
  <c r="F9" i="8"/>
  <c r="G9" i="8"/>
  <c r="H9" i="8"/>
  <c r="I9" i="8"/>
  <c r="J9" i="8"/>
  <c r="K9" i="8"/>
  <c r="L9" i="8"/>
  <c r="M9" i="8"/>
  <c r="N9" i="8"/>
  <c r="O9" i="8"/>
  <c r="P9" i="8"/>
  <c r="F10" i="8"/>
  <c r="G10" i="8"/>
  <c r="H10" i="8"/>
  <c r="I10" i="8"/>
  <c r="J10" i="8"/>
  <c r="K10" i="8"/>
  <c r="L10" i="8"/>
  <c r="M10" i="8"/>
  <c r="N10" i="8"/>
  <c r="O10" i="8"/>
  <c r="P10" i="8"/>
  <c r="F11" i="8"/>
  <c r="G11" i="8"/>
  <c r="I11" i="8"/>
  <c r="J11" i="8"/>
  <c r="K11" i="8"/>
  <c r="L11" i="8"/>
  <c r="M11" i="8"/>
  <c r="N11" i="8"/>
  <c r="O11" i="8"/>
  <c r="P11" i="8"/>
  <c r="F12" i="8"/>
  <c r="G12" i="8"/>
  <c r="H12" i="8"/>
  <c r="J12" i="8"/>
  <c r="K12" i="8"/>
  <c r="L12" i="8"/>
  <c r="M12" i="8"/>
  <c r="N12" i="8"/>
  <c r="O12" i="8"/>
  <c r="P12" i="8"/>
  <c r="E13" i="8"/>
  <c r="F13" i="8"/>
  <c r="G13" i="8"/>
  <c r="H13" i="8"/>
  <c r="I13" i="8"/>
  <c r="J13" i="8"/>
  <c r="K13" i="8"/>
  <c r="L13" i="8"/>
  <c r="M13" i="8"/>
  <c r="N13" i="8"/>
  <c r="O13" i="8"/>
  <c r="P13" i="8"/>
  <c r="F14" i="8"/>
  <c r="G14" i="8"/>
  <c r="I14" i="8"/>
  <c r="J14" i="8"/>
  <c r="K14" i="8"/>
  <c r="L14" i="8"/>
  <c r="M14" i="8"/>
  <c r="N14" i="8"/>
  <c r="O14" i="8"/>
  <c r="P14" i="8"/>
  <c r="F15" i="8"/>
  <c r="G15" i="8"/>
  <c r="H15" i="8"/>
  <c r="I15" i="8"/>
  <c r="J15" i="8"/>
  <c r="K15" i="8"/>
  <c r="L15" i="8"/>
  <c r="M15" i="8"/>
  <c r="N15" i="8"/>
  <c r="O15" i="8"/>
  <c r="P15" i="8"/>
  <c r="F16" i="8"/>
  <c r="G16" i="8"/>
  <c r="I16" i="8"/>
  <c r="J16" i="8"/>
  <c r="K16" i="8"/>
  <c r="L16" i="8"/>
  <c r="M16" i="8"/>
  <c r="N16" i="8"/>
  <c r="O16" i="8"/>
  <c r="P16" i="8"/>
  <c r="F17" i="8"/>
  <c r="G17" i="8"/>
  <c r="H17" i="8"/>
  <c r="I17" i="8"/>
  <c r="J17" i="8"/>
  <c r="K17" i="8"/>
  <c r="L17" i="8"/>
  <c r="M17" i="8"/>
  <c r="N17" i="8"/>
  <c r="O17" i="8"/>
  <c r="P17" i="8"/>
  <c r="F18" i="8"/>
  <c r="G18" i="8"/>
  <c r="H18" i="8"/>
  <c r="I18" i="8"/>
  <c r="J18" i="8"/>
  <c r="K18" i="8"/>
  <c r="L18" i="8"/>
  <c r="M18" i="8"/>
  <c r="N18" i="8"/>
  <c r="O18" i="8"/>
  <c r="P18" i="8"/>
  <c r="F19" i="8"/>
  <c r="G19" i="8"/>
  <c r="H19" i="8"/>
  <c r="I19" i="8"/>
  <c r="J19" i="8"/>
  <c r="K19" i="8"/>
  <c r="L19" i="8"/>
  <c r="M19" i="8"/>
  <c r="N19" i="8"/>
  <c r="O19" i="8"/>
  <c r="P19" i="8"/>
  <c r="E20" i="8"/>
  <c r="F20" i="8"/>
  <c r="G20" i="8"/>
  <c r="H20" i="8"/>
  <c r="I20" i="8"/>
  <c r="J20" i="8"/>
  <c r="K20" i="8"/>
  <c r="L20" i="8"/>
  <c r="M20" i="8"/>
  <c r="N20" i="8"/>
  <c r="O20" i="8"/>
  <c r="P20" i="8"/>
  <c r="F21" i="8"/>
  <c r="G21" i="8"/>
  <c r="I21" i="8"/>
  <c r="J21" i="8"/>
  <c r="K21" i="8"/>
  <c r="L21" i="8"/>
  <c r="M21" i="8"/>
  <c r="N21" i="8"/>
  <c r="O21" i="8"/>
  <c r="P21" i="8"/>
  <c r="F22" i="8"/>
  <c r="G22" i="8"/>
  <c r="I22" i="8"/>
  <c r="J22" i="8"/>
  <c r="K22" i="8"/>
  <c r="L22" i="8"/>
  <c r="M22" i="8"/>
  <c r="N22" i="8"/>
  <c r="O22" i="8"/>
  <c r="P22" i="8"/>
  <c r="F23" i="8"/>
  <c r="G23" i="8"/>
  <c r="H23" i="8"/>
  <c r="I23" i="8"/>
  <c r="J23" i="8"/>
  <c r="K23" i="8"/>
  <c r="L23" i="8"/>
  <c r="M23" i="8"/>
  <c r="N23" i="8"/>
  <c r="O23" i="8"/>
  <c r="P23" i="8"/>
  <c r="F24" i="8"/>
  <c r="G24" i="8"/>
  <c r="I24" i="8"/>
  <c r="J24" i="8"/>
  <c r="K24" i="8"/>
  <c r="L24" i="8"/>
  <c r="M24" i="8"/>
  <c r="N24" i="8"/>
  <c r="O24" i="8"/>
  <c r="P24" i="8"/>
  <c r="F25" i="8"/>
  <c r="G25" i="8"/>
  <c r="H25" i="8"/>
  <c r="I25" i="8"/>
  <c r="J25" i="8"/>
  <c r="K25" i="8"/>
  <c r="L25" i="8"/>
  <c r="M25" i="8"/>
  <c r="N25" i="8"/>
  <c r="O25" i="8"/>
  <c r="P25" i="8"/>
  <c r="E26" i="8"/>
  <c r="F26" i="8"/>
  <c r="G26" i="8"/>
  <c r="H26" i="8"/>
  <c r="I26" i="8"/>
  <c r="J26" i="8"/>
  <c r="K26" i="8"/>
  <c r="L26" i="8"/>
  <c r="M26" i="8"/>
  <c r="N26" i="8"/>
  <c r="O26" i="8"/>
  <c r="P26" i="8"/>
  <c r="F27" i="8"/>
  <c r="G27" i="8"/>
  <c r="I27" i="8"/>
  <c r="J27" i="8"/>
  <c r="K27" i="8"/>
  <c r="L27" i="8"/>
  <c r="M27" i="8"/>
  <c r="N27" i="8"/>
  <c r="O27" i="8"/>
  <c r="P27" i="8"/>
  <c r="E28" i="8"/>
  <c r="F28" i="8"/>
  <c r="G28" i="8"/>
  <c r="I28" i="8"/>
  <c r="J28" i="8"/>
  <c r="K28" i="8"/>
  <c r="L28" i="8"/>
  <c r="M28" i="8"/>
  <c r="N28" i="8"/>
  <c r="O28" i="8"/>
  <c r="P28" i="8"/>
  <c r="F29" i="8"/>
  <c r="G29" i="8"/>
  <c r="H29" i="8"/>
  <c r="I29" i="8"/>
  <c r="J29" i="8"/>
  <c r="K29" i="8"/>
  <c r="L29" i="8"/>
  <c r="M29" i="8"/>
  <c r="N29" i="8"/>
  <c r="O29" i="8"/>
  <c r="P29" i="8"/>
  <c r="E30" i="8"/>
  <c r="F30" i="8"/>
  <c r="G30" i="8"/>
  <c r="H30" i="8"/>
  <c r="I30" i="8"/>
  <c r="J30" i="8"/>
  <c r="K30" i="8"/>
  <c r="L30" i="8"/>
  <c r="M30" i="8"/>
  <c r="N30" i="8"/>
  <c r="O30" i="8"/>
  <c r="P30" i="8"/>
  <c r="F31" i="8"/>
  <c r="G31" i="8"/>
  <c r="H31" i="8"/>
  <c r="I31" i="8"/>
  <c r="J31" i="8"/>
  <c r="K31" i="8"/>
  <c r="L31" i="8"/>
  <c r="M31" i="8"/>
  <c r="N31" i="8"/>
  <c r="O31" i="8"/>
  <c r="P31" i="8"/>
  <c r="E32" i="8"/>
  <c r="F32" i="8"/>
  <c r="G32" i="8"/>
  <c r="H32" i="8"/>
  <c r="I32" i="8"/>
  <c r="J32" i="8"/>
  <c r="K32" i="8"/>
  <c r="L32" i="8"/>
  <c r="M32" i="8"/>
  <c r="N32" i="8"/>
  <c r="O32" i="8"/>
  <c r="P32" i="8"/>
  <c r="F33" i="8"/>
  <c r="G33" i="8"/>
  <c r="I33" i="8"/>
  <c r="J33" i="8"/>
  <c r="K33" i="8"/>
  <c r="L33" i="8"/>
  <c r="M33" i="8"/>
  <c r="N33" i="8"/>
  <c r="O33" i="8"/>
  <c r="P33" i="8"/>
  <c r="F34" i="8"/>
  <c r="G34" i="8"/>
  <c r="H34" i="8"/>
  <c r="I34" i="8"/>
  <c r="J34" i="8"/>
  <c r="K34" i="8"/>
  <c r="L34" i="8"/>
  <c r="M34" i="8"/>
  <c r="N34" i="8"/>
  <c r="O34" i="8"/>
  <c r="P34" i="8"/>
  <c r="F35" i="8"/>
  <c r="G35" i="8"/>
  <c r="H35" i="8"/>
  <c r="I35" i="8"/>
  <c r="J35" i="8"/>
  <c r="K35" i="8"/>
  <c r="L35" i="8"/>
  <c r="M35" i="8"/>
  <c r="N35" i="8"/>
  <c r="O35" i="8"/>
  <c r="P35" i="8"/>
  <c r="F36" i="8"/>
  <c r="G36" i="8"/>
  <c r="I36" i="8"/>
  <c r="J36" i="8"/>
  <c r="K36" i="8"/>
  <c r="L36" i="8"/>
  <c r="M36" i="8"/>
  <c r="N36" i="8"/>
  <c r="O36" i="8"/>
  <c r="P36" i="8"/>
  <c r="E37" i="8"/>
  <c r="F37" i="8"/>
  <c r="G37" i="8"/>
  <c r="H37" i="8"/>
  <c r="I37" i="8"/>
  <c r="J37" i="8"/>
  <c r="L37" i="8"/>
  <c r="M37" i="8"/>
  <c r="N37" i="8"/>
  <c r="O37" i="8"/>
  <c r="P37" i="8"/>
  <c r="E38" i="8"/>
  <c r="F38" i="8"/>
  <c r="G38" i="8"/>
  <c r="H38" i="8"/>
  <c r="I38" i="8"/>
  <c r="J38" i="8"/>
  <c r="K38" i="8"/>
  <c r="L38" i="8"/>
  <c r="M38" i="8"/>
  <c r="N38" i="8"/>
  <c r="O38" i="8"/>
  <c r="P38" i="8"/>
  <c r="F39" i="8"/>
  <c r="G39" i="8"/>
  <c r="H39" i="8"/>
  <c r="I39" i="8"/>
  <c r="J39" i="8"/>
  <c r="K39" i="8"/>
  <c r="L39" i="8"/>
  <c r="M39" i="8"/>
  <c r="N39" i="8"/>
  <c r="O39" i="8"/>
  <c r="P39" i="8"/>
  <c r="E40" i="8"/>
  <c r="F40" i="8"/>
  <c r="G40" i="8"/>
  <c r="H40" i="8"/>
  <c r="I40" i="8"/>
  <c r="J40" i="8"/>
  <c r="K40" i="8"/>
  <c r="L40" i="8"/>
  <c r="M40" i="8"/>
  <c r="N40" i="8"/>
  <c r="O40" i="8"/>
  <c r="P40" i="8"/>
  <c r="F41" i="8"/>
  <c r="G41" i="8"/>
  <c r="H41" i="8"/>
  <c r="I41" i="8"/>
  <c r="J41" i="8"/>
  <c r="L41" i="8"/>
  <c r="M41" i="8"/>
  <c r="N41" i="8"/>
  <c r="O41" i="8"/>
  <c r="P41" i="8"/>
  <c r="F42" i="8"/>
  <c r="G42" i="8"/>
  <c r="H42" i="8"/>
  <c r="I42" i="8"/>
  <c r="J42" i="8"/>
  <c r="K42" i="8"/>
  <c r="L42" i="8"/>
  <c r="M42" i="8"/>
  <c r="N42" i="8"/>
  <c r="O42" i="8"/>
  <c r="P42" i="8"/>
  <c r="F43" i="8"/>
  <c r="G43" i="8"/>
  <c r="H43" i="8"/>
  <c r="I43" i="8"/>
  <c r="J43" i="8"/>
  <c r="K43" i="8"/>
  <c r="L43" i="8"/>
  <c r="M43" i="8"/>
  <c r="N43" i="8"/>
  <c r="O43" i="8"/>
  <c r="P43" i="8"/>
  <c r="E44" i="8"/>
  <c r="F44" i="8"/>
  <c r="G44" i="8"/>
  <c r="H44" i="8"/>
  <c r="I44" i="8"/>
  <c r="J44" i="8"/>
  <c r="K44" i="8"/>
  <c r="L44" i="8"/>
  <c r="M44" i="8"/>
  <c r="N44" i="8"/>
  <c r="O44" i="8"/>
  <c r="P44" i="8"/>
  <c r="F45" i="8"/>
  <c r="G45" i="8"/>
  <c r="H45" i="8"/>
  <c r="I45" i="8"/>
  <c r="J45" i="8"/>
  <c r="L45" i="8"/>
  <c r="M45" i="8"/>
  <c r="N45" i="8"/>
  <c r="O45" i="8"/>
  <c r="P45" i="8"/>
  <c r="P6" i="8"/>
  <c r="N6" i="8"/>
  <c r="M6" i="8"/>
  <c r="L6" i="8"/>
  <c r="K6" i="8"/>
  <c r="J6" i="8"/>
  <c r="I6" i="8"/>
  <c r="H6" i="8"/>
  <c r="G6" i="8"/>
  <c r="F6" i="8"/>
  <c r="C40" i="8"/>
  <c r="C41" i="8"/>
  <c r="C42" i="8"/>
  <c r="C43" i="8"/>
  <c r="C44" i="8"/>
  <c r="C45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6" i="8"/>
  <c r="B43" i="30"/>
  <c r="B42" i="30"/>
  <c r="B41" i="30"/>
  <c r="B40" i="30"/>
  <c r="B39" i="30"/>
  <c r="B38" i="30"/>
  <c r="B37" i="30"/>
  <c r="B36" i="30"/>
  <c r="B35" i="30"/>
  <c r="B34" i="30"/>
  <c r="AD33" i="30"/>
  <c r="AC33" i="30"/>
  <c r="AB33" i="30"/>
  <c r="B33" i="30"/>
  <c r="AC32" i="30"/>
  <c r="AD32" i="30" s="1"/>
  <c r="AB32" i="30"/>
  <c r="B32" i="30"/>
  <c r="AD31" i="30"/>
  <c r="AC31" i="30"/>
  <c r="AB31" i="30"/>
  <c r="B31" i="30"/>
  <c r="AC30" i="30"/>
  <c r="AD30" i="30" s="1"/>
  <c r="AB30" i="30"/>
  <c r="B30" i="30"/>
  <c r="AD29" i="30"/>
  <c r="AC29" i="30"/>
  <c r="AB29" i="30"/>
  <c r="B29" i="30"/>
  <c r="AC28" i="30"/>
  <c r="AD28" i="30" s="1"/>
  <c r="AB28" i="30"/>
  <c r="B28" i="30"/>
  <c r="AD27" i="30"/>
  <c r="AC27" i="30"/>
  <c r="AB27" i="30"/>
  <c r="B27" i="30"/>
  <c r="AC26" i="30"/>
  <c r="AD26" i="30" s="1"/>
  <c r="AB26" i="30"/>
  <c r="B26" i="30"/>
  <c r="AD25" i="30"/>
  <c r="AC25" i="30"/>
  <c r="AB25" i="30"/>
  <c r="B25" i="30"/>
  <c r="AC24" i="30"/>
  <c r="AD24" i="30" s="1"/>
  <c r="AB24" i="30"/>
  <c r="B24" i="30"/>
  <c r="AD23" i="30"/>
  <c r="AC23" i="30"/>
  <c r="AB23" i="30"/>
  <c r="B23" i="30"/>
  <c r="AC22" i="30"/>
  <c r="AD22" i="30" s="1"/>
  <c r="AB22" i="30"/>
  <c r="B22" i="30"/>
  <c r="AD21" i="30"/>
  <c r="AC21" i="30"/>
  <c r="AB21" i="30"/>
  <c r="B21" i="30"/>
  <c r="AC20" i="30"/>
  <c r="AD20" i="30" s="1"/>
  <c r="AB20" i="30"/>
  <c r="B20" i="30"/>
  <c r="AD19" i="30"/>
  <c r="AC19" i="30"/>
  <c r="AB19" i="30"/>
  <c r="B19" i="30"/>
  <c r="AC18" i="30"/>
  <c r="AD18" i="30" s="1"/>
  <c r="AB18" i="30"/>
  <c r="B18" i="30"/>
  <c r="AD17" i="30"/>
  <c r="AC17" i="30"/>
  <c r="AB17" i="30"/>
  <c r="B17" i="30"/>
  <c r="AC16" i="30"/>
  <c r="AD16" i="30" s="1"/>
  <c r="AB16" i="30"/>
  <c r="B16" i="30"/>
  <c r="AD15" i="30"/>
  <c r="AC15" i="30"/>
  <c r="AB15" i="30"/>
  <c r="B15" i="30"/>
  <c r="AC14" i="30"/>
  <c r="AD14" i="30" s="1"/>
  <c r="AB14" i="30"/>
  <c r="B14" i="30"/>
  <c r="AD13" i="30"/>
  <c r="AC13" i="30"/>
  <c r="AB13" i="30"/>
  <c r="B13" i="30"/>
  <c r="AC12" i="30"/>
  <c r="AD12" i="30" s="1"/>
  <c r="AB12" i="30"/>
  <c r="B12" i="30"/>
  <c r="AD11" i="30"/>
  <c r="AC11" i="30"/>
  <c r="AB11" i="30"/>
  <c r="B11" i="30"/>
  <c r="AC10" i="30"/>
  <c r="AD10" i="30" s="1"/>
  <c r="AB10" i="30"/>
  <c r="B10" i="30"/>
  <c r="AD9" i="30"/>
  <c r="AC9" i="30"/>
  <c r="AB9" i="30"/>
  <c r="B9" i="30"/>
  <c r="AC8" i="30"/>
  <c r="AD8" i="30" s="1"/>
  <c r="AB8" i="30"/>
  <c r="B8" i="30"/>
  <c r="AD7" i="30"/>
  <c r="AC7" i="30"/>
  <c r="AB7" i="30"/>
  <c r="B7" i="30"/>
  <c r="AC6" i="30"/>
  <c r="AD6" i="30" s="1"/>
  <c r="AB6" i="30"/>
  <c r="B6" i="30"/>
  <c r="A6" i="30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B43" i="28"/>
  <c r="B42" i="28"/>
  <c r="B41" i="28"/>
  <c r="B40" i="28"/>
  <c r="B39" i="28"/>
  <c r="B38" i="28"/>
  <c r="B37" i="28"/>
  <c r="B36" i="28"/>
  <c r="B35" i="28"/>
  <c r="B34" i="28"/>
  <c r="AD33" i="28"/>
  <c r="AC33" i="28"/>
  <c r="AB33" i="28"/>
  <c r="B33" i="28"/>
  <c r="AC32" i="28"/>
  <c r="AD32" i="28" s="1"/>
  <c r="AB32" i="28"/>
  <c r="B32" i="28"/>
  <c r="AD31" i="28"/>
  <c r="AC31" i="28"/>
  <c r="AB31" i="28"/>
  <c r="B31" i="28"/>
  <c r="AC30" i="28"/>
  <c r="AD30" i="28" s="1"/>
  <c r="AB30" i="28"/>
  <c r="B30" i="28"/>
  <c r="AD29" i="28"/>
  <c r="AC29" i="28"/>
  <c r="AB29" i="28"/>
  <c r="B29" i="28"/>
  <c r="AC28" i="28"/>
  <c r="AD28" i="28" s="1"/>
  <c r="AB28" i="28"/>
  <c r="B28" i="28"/>
  <c r="AD27" i="28"/>
  <c r="AC27" i="28"/>
  <c r="AB27" i="28"/>
  <c r="B27" i="28"/>
  <c r="AC26" i="28"/>
  <c r="AD26" i="28" s="1"/>
  <c r="AB26" i="28"/>
  <c r="B26" i="28"/>
  <c r="AD25" i="28"/>
  <c r="AC25" i="28"/>
  <c r="AB25" i="28"/>
  <c r="B25" i="28"/>
  <c r="AC24" i="28"/>
  <c r="AD24" i="28" s="1"/>
  <c r="AB24" i="28"/>
  <c r="B24" i="28"/>
  <c r="AD23" i="28"/>
  <c r="AC23" i="28"/>
  <c r="AB23" i="28"/>
  <c r="B23" i="28"/>
  <c r="AC22" i="28"/>
  <c r="AD22" i="28" s="1"/>
  <c r="AB22" i="28"/>
  <c r="B22" i="28"/>
  <c r="AD21" i="28"/>
  <c r="AC21" i="28"/>
  <c r="AB21" i="28"/>
  <c r="B21" i="28"/>
  <c r="AC20" i="28"/>
  <c r="AD20" i="28" s="1"/>
  <c r="AB20" i="28"/>
  <c r="B20" i="28"/>
  <c r="AD19" i="28"/>
  <c r="AC19" i="28"/>
  <c r="AB19" i="28"/>
  <c r="B19" i="28"/>
  <c r="AC18" i="28"/>
  <c r="AD18" i="28" s="1"/>
  <c r="AB18" i="28"/>
  <c r="B18" i="28"/>
  <c r="AD17" i="28"/>
  <c r="AC17" i="28"/>
  <c r="AB17" i="28"/>
  <c r="B17" i="28"/>
  <c r="AC16" i="28"/>
  <c r="AD16" i="28" s="1"/>
  <c r="AB16" i="28"/>
  <c r="B16" i="28"/>
  <c r="AD15" i="28"/>
  <c r="AC15" i="28"/>
  <c r="AB15" i="28"/>
  <c r="B15" i="28"/>
  <c r="AC14" i="28"/>
  <c r="AD14" i="28" s="1"/>
  <c r="AB14" i="28"/>
  <c r="B14" i="28"/>
  <c r="AD13" i="28"/>
  <c r="AC13" i="28"/>
  <c r="AB13" i="28"/>
  <c r="B13" i="28"/>
  <c r="AC12" i="28"/>
  <c r="AD12" i="28" s="1"/>
  <c r="AB12" i="28"/>
  <c r="B12" i="28"/>
  <c r="AD11" i="28"/>
  <c r="AC11" i="28"/>
  <c r="AB11" i="28"/>
  <c r="B11" i="28"/>
  <c r="AC10" i="28"/>
  <c r="AD10" i="28" s="1"/>
  <c r="AB10" i="28"/>
  <c r="B10" i="28"/>
  <c r="AD9" i="28"/>
  <c r="AC9" i="28"/>
  <c r="AB9" i="28"/>
  <c r="B9" i="28"/>
  <c r="AC8" i="28"/>
  <c r="AD8" i="28" s="1"/>
  <c r="AB8" i="28"/>
  <c r="B8" i="28"/>
  <c r="AD7" i="28"/>
  <c r="AC7" i="28"/>
  <c r="AB7" i="28"/>
  <c r="B7" i="28"/>
  <c r="AC6" i="28"/>
  <c r="AD6" i="28" s="1"/>
  <c r="AB6" i="28"/>
  <c r="B6" i="28"/>
  <c r="A6" i="28"/>
  <c r="A7" i="28" s="1"/>
  <c r="A8" i="28" s="1"/>
  <c r="A9" i="28" s="1"/>
  <c r="A10" i="28" s="1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B43" i="27"/>
  <c r="B42" i="27"/>
  <c r="B41" i="27"/>
  <c r="B40" i="27"/>
  <c r="B39" i="27"/>
  <c r="B38" i="27"/>
  <c r="B37" i="27"/>
  <c r="B36" i="27"/>
  <c r="B35" i="27"/>
  <c r="B34" i="27"/>
  <c r="AD33" i="27"/>
  <c r="AC33" i="27"/>
  <c r="AB33" i="27"/>
  <c r="B33" i="27"/>
  <c r="AC32" i="27"/>
  <c r="AD32" i="27" s="1"/>
  <c r="AB32" i="27"/>
  <c r="B32" i="27"/>
  <c r="AD31" i="27"/>
  <c r="AC31" i="27"/>
  <c r="AB31" i="27"/>
  <c r="B31" i="27"/>
  <c r="AC30" i="27"/>
  <c r="AD30" i="27" s="1"/>
  <c r="AB30" i="27"/>
  <c r="B30" i="27"/>
  <c r="AD29" i="27"/>
  <c r="AC29" i="27"/>
  <c r="AB29" i="27"/>
  <c r="B29" i="27"/>
  <c r="AC28" i="27"/>
  <c r="AD28" i="27" s="1"/>
  <c r="AB28" i="27"/>
  <c r="B28" i="27"/>
  <c r="AD27" i="27"/>
  <c r="AC27" i="27"/>
  <c r="AB27" i="27"/>
  <c r="B27" i="27"/>
  <c r="AC26" i="27"/>
  <c r="AD26" i="27" s="1"/>
  <c r="AB26" i="27"/>
  <c r="B26" i="27"/>
  <c r="AD25" i="27"/>
  <c r="AC25" i="27"/>
  <c r="AB25" i="27"/>
  <c r="B25" i="27"/>
  <c r="AC24" i="27"/>
  <c r="AD24" i="27" s="1"/>
  <c r="AB24" i="27"/>
  <c r="B24" i="27"/>
  <c r="AD23" i="27"/>
  <c r="AC23" i="27"/>
  <c r="AB23" i="27"/>
  <c r="B23" i="27"/>
  <c r="AC22" i="27"/>
  <c r="AD22" i="27" s="1"/>
  <c r="AB22" i="27"/>
  <c r="B22" i="27"/>
  <c r="AD21" i="27"/>
  <c r="AC21" i="27"/>
  <c r="AB21" i="27"/>
  <c r="B21" i="27"/>
  <c r="AC20" i="27"/>
  <c r="AD20" i="27" s="1"/>
  <c r="AB20" i="27"/>
  <c r="B20" i="27"/>
  <c r="AD19" i="27"/>
  <c r="AC19" i="27"/>
  <c r="AB19" i="27"/>
  <c r="B19" i="27"/>
  <c r="AC18" i="27"/>
  <c r="AD18" i="27" s="1"/>
  <c r="AB18" i="27"/>
  <c r="B18" i="27"/>
  <c r="AD17" i="27"/>
  <c r="AC17" i="27"/>
  <c r="AB17" i="27"/>
  <c r="B17" i="27"/>
  <c r="AC16" i="27"/>
  <c r="AD16" i="27" s="1"/>
  <c r="AB16" i="27"/>
  <c r="B16" i="27"/>
  <c r="AD15" i="27"/>
  <c r="AC15" i="27"/>
  <c r="AB15" i="27"/>
  <c r="B15" i="27"/>
  <c r="AC14" i="27"/>
  <c r="AD14" i="27" s="1"/>
  <c r="AB14" i="27"/>
  <c r="B14" i="27"/>
  <c r="AD13" i="27"/>
  <c r="AC13" i="27"/>
  <c r="AB13" i="27"/>
  <c r="B13" i="27"/>
  <c r="AC12" i="27"/>
  <c r="AD12" i="27" s="1"/>
  <c r="AB12" i="27"/>
  <c r="B12" i="27"/>
  <c r="AD11" i="27"/>
  <c r="AC11" i="27"/>
  <c r="AB11" i="27"/>
  <c r="B11" i="27"/>
  <c r="AC10" i="27"/>
  <c r="AD10" i="27" s="1"/>
  <c r="AB10" i="27"/>
  <c r="B10" i="27"/>
  <c r="AD9" i="27"/>
  <c r="AC9" i="27"/>
  <c r="AB9" i="27"/>
  <c r="B9" i="27"/>
  <c r="AC8" i="27"/>
  <c r="AD8" i="27" s="1"/>
  <c r="AB8" i="27"/>
  <c r="B8" i="27"/>
  <c r="AD7" i="27"/>
  <c r="AC7" i="27"/>
  <c r="AB7" i="27"/>
  <c r="B7" i="27"/>
  <c r="AC6" i="27"/>
  <c r="AD6" i="27" s="1"/>
  <c r="AB6" i="27"/>
  <c r="B6" i="27"/>
  <c r="A6" i="27"/>
  <c r="A7" i="27" s="1"/>
  <c r="A8" i="27" s="1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B43" i="26"/>
  <c r="B42" i="26"/>
  <c r="B41" i="26"/>
  <c r="B40" i="26"/>
  <c r="B39" i="26"/>
  <c r="B38" i="26"/>
  <c r="B37" i="26"/>
  <c r="B36" i="26"/>
  <c r="B35" i="26"/>
  <c r="B34" i="26"/>
  <c r="AD33" i="26"/>
  <c r="AC33" i="26"/>
  <c r="AB33" i="26"/>
  <c r="B33" i="26"/>
  <c r="AC32" i="26"/>
  <c r="AD32" i="26" s="1"/>
  <c r="AB32" i="26"/>
  <c r="B32" i="26"/>
  <c r="AD31" i="26"/>
  <c r="AC31" i="26"/>
  <c r="AB31" i="26"/>
  <c r="B31" i="26"/>
  <c r="AC30" i="26"/>
  <c r="AD30" i="26" s="1"/>
  <c r="AB30" i="26"/>
  <c r="B30" i="26"/>
  <c r="AD29" i="26"/>
  <c r="AC29" i="26"/>
  <c r="AB29" i="26"/>
  <c r="B29" i="26"/>
  <c r="AC28" i="26"/>
  <c r="AD28" i="26" s="1"/>
  <c r="AB28" i="26"/>
  <c r="B28" i="26"/>
  <c r="AD27" i="26"/>
  <c r="AC27" i="26"/>
  <c r="AB27" i="26"/>
  <c r="B27" i="26"/>
  <c r="AC26" i="26"/>
  <c r="AD26" i="26" s="1"/>
  <c r="AB26" i="26"/>
  <c r="B26" i="26"/>
  <c r="AD25" i="26"/>
  <c r="AC25" i="26"/>
  <c r="AB25" i="26"/>
  <c r="B25" i="26"/>
  <c r="AC24" i="26"/>
  <c r="AD24" i="26" s="1"/>
  <c r="AB24" i="26"/>
  <c r="B24" i="26"/>
  <c r="AD23" i="26"/>
  <c r="AC23" i="26"/>
  <c r="AB23" i="26"/>
  <c r="B23" i="26"/>
  <c r="AC22" i="26"/>
  <c r="AD22" i="26" s="1"/>
  <c r="AB22" i="26"/>
  <c r="B22" i="26"/>
  <c r="AD21" i="26"/>
  <c r="AC21" i="26"/>
  <c r="AB21" i="26"/>
  <c r="B21" i="26"/>
  <c r="AC20" i="26"/>
  <c r="AD20" i="26" s="1"/>
  <c r="AB20" i="26"/>
  <c r="B20" i="26"/>
  <c r="AD19" i="26"/>
  <c r="AC19" i="26"/>
  <c r="AB19" i="26"/>
  <c r="B19" i="26"/>
  <c r="AC18" i="26"/>
  <c r="AD18" i="26" s="1"/>
  <c r="AB18" i="26"/>
  <c r="B18" i="26"/>
  <c r="AD17" i="26"/>
  <c r="AC17" i="26"/>
  <c r="AB17" i="26"/>
  <c r="B17" i="26"/>
  <c r="AC16" i="26"/>
  <c r="AD16" i="26" s="1"/>
  <c r="AB16" i="26"/>
  <c r="B16" i="26"/>
  <c r="AD15" i="26"/>
  <c r="AC15" i="26"/>
  <c r="AB15" i="26"/>
  <c r="B15" i="26"/>
  <c r="AC14" i="26"/>
  <c r="AD14" i="26" s="1"/>
  <c r="AB14" i="26"/>
  <c r="B14" i="26"/>
  <c r="AD13" i="26"/>
  <c r="AC13" i="26"/>
  <c r="AB13" i="26"/>
  <c r="B13" i="26"/>
  <c r="AC12" i="26"/>
  <c r="AD12" i="26" s="1"/>
  <c r="AB12" i="26"/>
  <c r="B12" i="26"/>
  <c r="AD11" i="26"/>
  <c r="AC11" i="26"/>
  <c r="AB11" i="26"/>
  <c r="B11" i="26"/>
  <c r="AC10" i="26"/>
  <c r="AD10" i="26" s="1"/>
  <c r="AB10" i="26"/>
  <c r="B10" i="26"/>
  <c r="AD9" i="26"/>
  <c r="AC9" i="26"/>
  <c r="AB9" i="26"/>
  <c r="B9" i="26"/>
  <c r="AC8" i="26"/>
  <c r="AD8" i="26" s="1"/>
  <c r="AB8" i="26"/>
  <c r="B8" i="26"/>
  <c r="AD7" i="26"/>
  <c r="AC7" i="26"/>
  <c r="AB7" i="26"/>
  <c r="B7" i="26"/>
  <c r="AC6" i="26"/>
  <c r="AD6" i="26" s="1"/>
  <c r="AB6" i="26"/>
  <c r="B6" i="26"/>
  <c r="A6" i="26"/>
  <c r="A7" i="26" s="1"/>
  <c r="A8" i="26" s="1"/>
  <c r="A9" i="26" s="1"/>
  <c r="A10" i="26" s="1"/>
  <c r="A11" i="26" s="1"/>
  <c r="A12" i="26" s="1"/>
  <c r="A13" i="26" s="1"/>
  <c r="A14" i="26" s="1"/>
  <c r="A15" i="26" s="1"/>
  <c r="A16" i="26" s="1"/>
  <c r="A17" i="26" s="1"/>
  <c r="A18" i="26" s="1"/>
  <c r="A19" i="26" s="1"/>
  <c r="A20" i="26" s="1"/>
  <c r="A21" i="26" s="1"/>
  <c r="A22" i="26" s="1"/>
  <c r="A23" i="26" s="1"/>
  <c r="A24" i="26" s="1"/>
  <c r="A25" i="26" s="1"/>
  <c r="A26" i="26" s="1"/>
  <c r="A27" i="26" s="1"/>
  <c r="A28" i="26" s="1"/>
  <c r="A29" i="26" s="1"/>
  <c r="A30" i="26" s="1"/>
  <c r="A31" i="26" s="1"/>
  <c r="A32" i="26" s="1"/>
  <c r="A33" i="26" s="1"/>
  <c r="A34" i="26" s="1"/>
  <c r="A35" i="26" s="1"/>
  <c r="A36" i="26" s="1"/>
  <c r="A37" i="26" s="1"/>
  <c r="A38" i="26" s="1"/>
  <c r="A39" i="26" s="1"/>
  <c r="A40" i="26" s="1"/>
  <c r="A41" i="26" s="1"/>
  <c r="A42" i="26" s="1"/>
  <c r="A43" i="26" s="1"/>
  <c r="B43" i="25"/>
  <c r="B42" i="25"/>
  <c r="B41" i="25"/>
  <c r="B40" i="25"/>
  <c r="B39" i="25"/>
  <c r="B38" i="25"/>
  <c r="B37" i="25"/>
  <c r="B36" i="25"/>
  <c r="B35" i="25"/>
  <c r="B34" i="25"/>
  <c r="AD33" i="25"/>
  <c r="AC33" i="25"/>
  <c r="AB33" i="25"/>
  <c r="B33" i="25"/>
  <c r="AC32" i="25"/>
  <c r="AD32" i="25" s="1"/>
  <c r="AB32" i="25"/>
  <c r="B32" i="25"/>
  <c r="AD31" i="25"/>
  <c r="AC31" i="25"/>
  <c r="AB31" i="25"/>
  <c r="B31" i="25"/>
  <c r="AC30" i="25"/>
  <c r="AD30" i="25" s="1"/>
  <c r="AB30" i="25"/>
  <c r="B30" i="25"/>
  <c r="AD29" i="25"/>
  <c r="AC29" i="25"/>
  <c r="AB29" i="25"/>
  <c r="B29" i="25"/>
  <c r="AC28" i="25"/>
  <c r="AD28" i="25" s="1"/>
  <c r="AB28" i="25"/>
  <c r="B28" i="25"/>
  <c r="AD27" i="25"/>
  <c r="AC27" i="25"/>
  <c r="AB27" i="25"/>
  <c r="B27" i="25"/>
  <c r="AC26" i="25"/>
  <c r="AD26" i="25" s="1"/>
  <c r="AB26" i="25"/>
  <c r="B26" i="25"/>
  <c r="AD25" i="25"/>
  <c r="AC25" i="25"/>
  <c r="AB25" i="25"/>
  <c r="B25" i="25"/>
  <c r="AC24" i="25"/>
  <c r="AD24" i="25" s="1"/>
  <c r="AB24" i="25"/>
  <c r="B24" i="25"/>
  <c r="AD23" i="25"/>
  <c r="AC23" i="25"/>
  <c r="AB23" i="25"/>
  <c r="B23" i="25"/>
  <c r="AC22" i="25"/>
  <c r="AD22" i="25" s="1"/>
  <c r="AB22" i="25"/>
  <c r="B22" i="25"/>
  <c r="AD21" i="25"/>
  <c r="AC21" i="25"/>
  <c r="AB21" i="25"/>
  <c r="B21" i="25"/>
  <c r="AC20" i="25"/>
  <c r="AD20" i="25" s="1"/>
  <c r="AB20" i="25"/>
  <c r="B20" i="25"/>
  <c r="AD19" i="25"/>
  <c r="AC19" i="25"/>
  <c r="AB19" i="25"/>
  <c r="B19" i="25"/>
  <c r="AC18" i="25"/>
  <c r="AD18" i="25" s="1"/>
  <c r="AB18" i="25"/>
  <c r="B18" i="25"/>
  <c r="AD17" i="25"/>
  <c r="AC17" i="25"/>
  <c r="AB17" i="25"/>
  <c r="B17" i="25"/>
  <c r="AC16" i="25"/>
  <c r="AD16" i="25" s="1"/>
  <c r="AB16" i="25"/>
  <c r="B16" i="25"/>
  <c r="AD15" i="25"/>
  <c r="AC15" i="25"/>
  <c r="AB15" i="25"/>
  <c r="B15" i="25"/>
  <c r="AC14" i="25"/>
  <c r="AD14" i="25" s="1"/>
  <c r="AB14" i="25"/>
  <c r="B14" i="25"/>
  <c r="AD13" i="25"/>
  <c r="AC13" i="25"/>
  <c r="AB13" i="25"/>
  <c r="B13" i="25"/>
  <c r="AC12" i="25"/>
  <c r="AD12" i="25" s="1"/>
  <c r="AB12" i="25"/>
  <c r="B12" i="25"/>
  <c r="AD11" i="25"/>
  <c r="AC11" i="25"/>
  <c r="AB11" i="25"/>
  <c r="B11" i="25"/>
  <c r="AC10" i="25"/>
  <c r="AD10" i="25" s="1"/>
  <c r="AB10" i="25"/>
  <c r="B10" i="25"/>
  <c r="AD9" i="25"/>
  <c r="AC9" i="25"/>
  <c r="AB9" i="25"/>
  <c r="B9" i="25"/>
  <c r="AC8" i="25"/>
  <c r="AD8" i="25" s="1"/>
  <c r="AB8" i="25"/>
  <c r="B8" i="25"/>
  <c r="AD7" i="25"/>
  <c r="AC7" i="25"/>
  <c r="AB7" i="25"/>
  <c r="B7" i="25"/>
  <c r="AC6" i="25"/>
  <c r="AD6" i="25" s="1"/>
  <c r="AB6" i="25"/>
  <c r="B6" i="25"/>
  <c r="A6" i="25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B43" i="24"/>
  <c r="B42" i="24"/>
  <c r="B41" i="24"/>
  <c r="B40" i="24"/>
  <c r="B39" i="24"/>
  <c r="B38" i="24"/>
  <c r="B37" i="24"/>
  <c r="B36" i="24"/>
  <c r="B35" i="24"/>
  <c r="B34" i="24"/>
  <c r="AD33" i="24"/>
  <c r="AC33" i="24"/>
  <c r="AB33" i="24"/>
  <c r="B33" i="24"/>
  <c r="AC32" i="24"/>
  <c r="AD32" i="24" s="1"/>
  <c r="AB32" i="24"/>
  <c r="B32" i="24"/>
  <c r="AD31" i="24"/>
  <c r="AC31" i="24"/>
  <c r="AB31" i="24"/>
  <c r="B31" i="24"/>
  <c r="AC30" i="24"/>
  <c r="AD30" i="24" s="1"/>
  <c r="AB30" i="24"/>
  <c r="B30" i="24"/>
  <c r="AD29" i="24"/>
  <c r="AC29" i="24"/>
  <c r="AB29" i="24"/>
  <c r="B29" i="24"/>
  <c r="AC28" i="24"/>
  <c r="AD28" i="24" s="1"/>
  <c r="AB28" i="24"/>
  <c r="B28" i="24"/>
  <c r="AD27" i="24"/>
  <c r="AC27" i="24"/>
  <c r="AB27" i="24"/>
  <c r="B27" i="24"/>
  <c r="AC26" i="24"/>
  <c r="AD26" i="24" s="1"/>
  <c r="AB26" i="24"/>
  <c r="B26" i="24"/>
  <c r="AD25" i="24"/>
  <c r="AC25" i="24"/>
  <c r="AB25" i="24"/>
  <c r="B25" i="24"/>
  <c r="AC24" i="24"/>
  <c r="AD24" i="24" s="1"/>
  <c r="AB24" i="24"/>
  <c r="B24" i="24"/>
  <c r="AD23" i="24"/>
  <c r="AC23" i="24"/>
  <c r="AB23" i="24"/>
  <c r="B23" i="24"/>
  <c r="AC22" i="24"/>
  <c r="AD22" i="24" s="1"/>
  <c r="AB22" i="24"/>
  <c r="B22" i="24"/>
  <c r="AD21" i="24"/>
  <c r="AC21" i="24"/>
  <c r="AB21" i="24"/>
  <c r="B21" i="24"/>
  <c r="AC20" i="24"/>
  <c r="AD20" i="24" s="1"/>
  <c r="AB20" i="24"/>
  <c r="B20" i="24"/>
  <c r="AD19" i="24"/>
  <c r="AC19" i="24"/>
  <c r="AB19" i="24"/>
  <c r="B19" i="24"/>
  <c r="AC18" i="24"/>
  <c r="AD18" i="24" s="1"/>
  <c r="AB18" i="24"/>
  <c r="B18" i="24"/>
  <c r="AD17" i="24"/>
  <c r="AC17" i="24"/>
  <c r="AB17" i="24"/>
  <c r="B17" i="24"/>
  <c r="AC16" i="24"/>
  <c r="AD16" i="24" s="1"/>
  <c r="AB16" i="24"/>
  <c r="B16" i="24"/>
  <c r="AD15" i="24"/>
  <c r="AC15" i="24"/>
  <c r="AB15" i="24"/>
  <c r="B15" i="24"/>
  <c r="AC14" i="24"/>
  <c r="AD14" i="24" s="1"/>
  <c r="AB14" i="24"/>
  <c r="B14" i="24"/>
  <c r="AD13" i="24"/>
  <c r="AC13" i="24"/>
  <c r="AB13" i="24"/>
  <c r="B13" i="24"/>
  <c r="AC12" i="24"/>
  <c r="AD12" i="24" s="1"/>
  <c r="AB12" i="24"/>
  <c r="B12" i="24"/>
  <c r="AD11" i="24"/>
  <c r="AC11" i="24"/>
  <c r="AB11" i="24"/>
  <c r="B11" i="24"/>
  <c r="AC10" i="24"/>
  <c r="AD10" i="24" s="1"/>
  <c r="AB10" i="24"/>
  <c r="B10" i="24"/>
  <c r="AD9" i="24"/>
  <c r="AC9" i="24"/>
  <c r="AB9" i="24"/>
  <c r="B9" i="24"/>
  <c r="AC8" i="24"/>
  <c r="AD8" i="24" s="1"/>
  <c r="AB8" i="24"/>
  <c r="B8" i="24"/>
  <c r="AD7" i="24"/>
  <c r="AC7" i="24"/>
  <c r="AB7" i="24"/>
  <c r="B7" i="24"/>
  <c r="AC6" i="24"/>
  <c r="AD6" i="24" s="1"/>
  <c r="AB6" i="24"/>
  <c r="B6" i="24"/>
  <c r="A6" i="24"/>
  <c r="A7" i="24" s="1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A30" i="24" s="1"/>
  <c r="A31" i="24" s="1"/>
  <c r="A32" i="24" s="1"/>
  <c r="A33" i="24" s="1"/>
  <c r="A34" i="24" s="1"/>
  <c r="A35" i="24" s="1"/>
  <c r="A36" i="24" s="1"/>
  <c r="A37" i="24" s="1"/>
  <c r="A38" i="24" s="1"/>
  <c r="A39" i="24" s="1"/>
  <c r="A40" i="24" s="1"/>
  <c r="A41" i="24" s="1"/>
  <c r="A42" i="24" s="1"/>
  <c r="A43" i="24" s="1"/>
  <c r="B43" i="23"/>
  <c r="B42" i="23"/>
  <c r="B41" i="23"/>
  <c r="B40" i="23"/>
  <c r="B39" i="23"/>
  <c r="B38" i="23"/>
  <c r="B37" i="23"/>
  <c r="B36" i="23"/>
  <c r="B35" i="23"/>
  <c r="B34" i="23"/>
  <c r="AD33" i="23"/>
  <c r="AC33" i="23"/>
  <c r="AB33" i="23"/>
  <c r="B33" i="23"/>
  <c r="AC32" i="23"/>
  <c r="AD32" i="23" s="1"/>
  <c r="AB32" i="23"/>
  <c r="B32" i="23"/>
  <c r="AD31" i="23"/>
  <c r="AC31" i="23"/>
  <c r="AB31" i="23"/>
  <c r="B31" i="23"/>
  <c r="AC30" i="23"/>
  <c r="AD30" i="23" s="1"/>
  <c r="AB30" i="23"/>
  <c r="B30" i="23"/>
  <c r="AD29" i="23"/>
  <c r="AC29" i="23"/>
  <c r="AB29" i="23"/>
  <c r="B29" i="23"/>
  <c r="AC28" i="23"/>
  <c r="AD28" i="23" s="1"/>
  <c r="AB28" i="23"/>
  <c r="B28" i="23"/>
  <c r="AD27" i="23"/>
  <c r="AC27" i="23"/>
  <c r="AB27" i="23"/>
  <c r="B27" i="23"/>
  <c r="AC26" i="23"/>
  <c r="AD26" i="23" s="1"/>
  <c r="AB26" i="23"/>
  <c r="B26" i="23"/>
  <c r="AD25" i="23"/>
  <c r="AC25" i="23"/>
  <c r="AB25" i="23"/>
  <c r="B25" i="23"/>
  <c r="AC24" i="23"/>
  <c r="AD24" i="23" s="1"/>
  <c r="AB24" i="23"/>
  <c r="B24" i="23"/>
  <c r="AD23" i="23"/>
  <c r="AC23" i="23"/>
  <c r="AB23" i="23"/>
  <c r="B23" i="23"/>
  <c r="AC22" i="23"/>
  <c r="AD22" i="23" s="1"/>
  <c r="AB22" i="23"/>
  <c r="B22" i="23"/>
  <c r="AD21" i="23"/>
  <c r="AC21" i="23"/>
  <c r="AB21" i="23"/>
  <c r="B21" i="23"/>
  <c r="AC20" i="23"/>
  <c r="AD20" i="23" s="1"/>
  <c r="AB20" i="23"/>
  <c r="B20" i="23"/>
  <c r="AD19" i="23"/>
  <c r="AC19" i="23"/>
  <c r="AB19" i="23"/>
  <c r="B19" i="23"/>
  <c r="AC18" i="23"/>
  <c r="AD18" i="23" s="1"/>
  <c r="AB18" i="23"/>
  <c r="B18" i="23"/>
  <c r="AD17" i="23"/>
  <c r="AC17" i="23"/>
  <c r="AB17" i="23"/>
  <c r="B17" i="23"/>
  <c r="AC16" i="23"/>
  <c r="AD16" i="23" s="1"/>
  <c r="AB16" i="23"/>
  <c r="B16" i="23"/>
  <c r="AD15" i="23"/>
  <c r="AC15" i="23"/>
  <c r="AB15" i="23"/>
  <c r="B15" i="23"/>
  <c r="AC14" i="23"/>
  <c r="AD14" i="23" s="1"/>
  <c r="AB14" i="23"/>
  <c r="B14" i="23"/>
  <c r="AD13" i="23"/>
  <c r="AC13" i="23"/>
  <c r="AB13" i="23"/>
  <c r="B13" i="23"/>
  <c r="AC12" i="23"/>
  <c r="AD12" i="23" s="1"/>
  <c r="AB12" i="23"/>
  <c r="B12" i="23"/>
  <c r="AD11" i="23"/>
  <c r="AC11" i="23"/>
  <c r="AB11" i="23"/>
  <c r="B11" i="23"/>
  <c r="AC10" i="23"/>
  <c r="AD10" i="23" s="1"/>
  <c r="AB10" i="23"/>
  <c r="B10" i="23"/>
  <c r="AD9" i="23"/>
  <c r="AC9" i="23"/>
  <c r="AB9" i="23"/>
  <c r="B9" i="23"/>
  <c r="AC8" i="23"/>
  <c r="AD8" i="23" s="1"/>
  <c r="AB8" i="23"/>
  <c r="B8" i="23"/>
  <c r="AD7" i="23"/>
  <c r="AC7" i="23"/>
  <c r="AB7" i="23"/>
  <c r="B7" i="23"/>
  <c r="AC6" i="23"/>
  <c r="AD6" i="23" s="1"/>
  <c r="AB6" i="23"/>
  <c r="B6" i="23"/>
  <c r="A6" i="23"/>
  <c r="A7" i="23" s="1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B43" i="19"/>
  <c r="B42" i="19"/>
  <c r="B41" i="19"/>
  <c r="B40" i="19"/>
  <c r="B39" i="19"/>
  <c r="B38" i="19"/>
  <c r="B37" i="19"/>
  <c r="B36" i="19"/>
  <c r="B35" i="19"/>
  <c r="B34" i="19"/>
  <c r="AD33" i="19"/>
  <c r="AC33" i="19"/>
  <c r="AB33" i="19"/>
  <c r="B33" i="19"/>
  <c r="AC32" i="19"/>
  <c r="AD32" i="19" s="1"/>
  <c r="AB32" i="19"/>
  <c r="B32" i="19"/>
  <c r="AD31" i="19"/>
  <c r="AC31" i="19"/>
  <c r="AB31" i="19"/>
  <c r="B31" i="19"/>
  <c r="AC30" i="19"/>
  <c r="AD30" i="19" s="1"/>
  <c r="AB30" i="19"/>
  <c r="B30" i="19"/>
  <c r="AD29" i="19"/>
  <c r="AC29" i="19"/>
  <c r="AB29" i="19"/>
  <c r="B29" i="19"/>
  <c r="AC28" i="19"/>
  <c r="AD28" i="19" s="1"/>
  <c r="AB28" i="19"/>
  <c r="B28" i="19"/>
  <c r="AD27" i="19"/>
  <c r="AC27" i="19"/>
  <c r="AB27" i="19"/>
  <c r="B27" i="19"/>
  <c r="AC26" i="19"/>
  <c r="AD26" i="19" s="1"/>
  <c r="AB26" i="19"/>
  <c r="B26" i="19"/>
  <c r="AD25" i="19"/>
  <c r="AC25" i="19"/>
  <c r="AB25" i="19"/>
  <c r="B25" i="19"/>
  <c r="AC24" i="19"/>
  <c r="AD24" i="19" s="1"/>
  <c r="AB24" i="19"/>
  <c r="B24" i="19"/>
  <c r="AD23" i="19"/>
  <c r="AC23" i="19"/>
  <c r="AB23" i="19"/>
  <c r="B23" i="19"/>
  <c r="AC22" i="19"/>
  <c r="AD22" i="19" s="1"/>
  <c r="AB22" i="19"/>
  <c r="B22" i="19"/>
  <c r="AD21" i="19"/>
  <c r="AC21" i="19"/>
  <c r="AB21" i="19"/>
  <c r="B21" i="19"/>
  <c r="AC20" i="19"/>
  <c r="AD20" i="19" s="1"/>
  <c r="AB20" i="19"/>
  <c r="B20" i="19"/>
  <c r="AD19" i="19"/>
  <c r="AC19" i="19"/>
  <c r="AB19" i="19"/>
  <c r="B19" i="19"/>
  <c r="AC18" i="19"/>
  <c r="AD18" i="19" s="1"/>
  <c r="AB18" i="19"/>
  <c r="B18" i="19"/>
  <c r="AD17" i="19"/>
  <c r="AC17" i="19"/>
  <c r="AB17" i="19"/>
  <c r="B17" i="19"/>
  <c r="AC16" i="19"/>
  <c r="AD16" i="19" s="1"/>
  <c r="AB16" i="19"/>
  <c r="B16" i="19"/>
  <c r="AD15" i="19"/>
  <c r="AC15" i="19"/>
  <c r="AB15" i="19"/>
  <c r="B15" i="19"/>
  <c r="AC14" i="19"/>
  <c r="AD14" i="19" s="1"/>
  <c r="AB14" i="19"/>
  <c r="B14" i="19"/>
  <c r="AD13" i="19"/>
  <c r="AC13" i="19"/>
  <c r="AB13" i="19"/>
  <c r="B13" i="19"/>
  <c r="AC12" i="19"/>
  <c r="AD12" i="19" s="1"/>
  <c r="AB12" i="19"/>
  <c r="B12" i="19"/>
  <c r="AD11" i="19"/>
  <c r="AC11" i="19"/>
  <c r="AB11" i="19"/>
  <c r="B11" i="19"/>
  <c r="AC10" i="19"/>
  <c r="AD10" i="19" s="1"/>
  <c r="AB10" i="19"/>
  <c r="B10" i="19"/>
  <c r="AD9" i="19"/>
  <c r="AC9" i="19"/>
  <c r="AB9" i="19"/>
  <c r="B9" i="19"/>
  <c r="AC8" i="19"/>
  <c r="AD8" i="19" s="1"/>
  <c r="AB8" i="19"/>
  <c r="B8" i="19"/>
  <c r="AD7" i="19"/>
  <c r="AC7" i="19"/>
  <c r="AB7" i="19"/>
  <c r="B7" i="19"/>
  <c r="AC6" i="19"/>
  <c r="AD6" i="19" s="1"/>
  <c r="AB6" i="19"/>
  <c r="B6" i="19"/>
  <c r="A6" i="19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D12" i="6" l="1"/>
  <c r="I12" i="8"/>
  <c r="AD7" i="6"/>
  <c r="I7" i="8"/>
  <c r="R44" i="8"/>
  <c r="S44" i="8" s="1"/>
  <c r="R32" i="8"/>
  <c r="S32" i="8" s="1"/>
  <c r="R30" i="8"/>
  <c r="S30" i="8" s="1"/>
  <c r="R34" i="8"/>
  <c r="S34" i="8" s="1"/>
  <c r="R40" i="8"/>
  <c r="S40" i="8" s="1"/>
  <c r="E42" i="8"/>
  <c r="R42" i="8" s="1"/>
  <c r="S42" i="8" s="1"/>
  <c r="E36" i="8"/>
  <c r="E24" i="8"/>
  <c r="E43" i="8"/>
  <c r="R43" i="8" s="1"/>
  <c r="S43" i="8" s="1"/>
  <c r="E33" i="8"/>
  <c r="E39" i="8"/>
  <c r="E23" i="8"/>
  <c r="E41" i="8"/>
  <c r="E35" i="8"/>
  <c r="R35" i="8" s="1"/>
  <c r="S35" i="8" s="1"/>
  <c r="E25" i="8"/>
  <c r="E14" i="8"/>
  <c r="R14" i="8" s="1"/>
  <c r="S14" i="8" s="1"/>
  <c r="E45" i="8"/>
  <c r="E21" i="8"/>
  <c r="E19" i="8"/>
  <c r="E29" i="8"/>
  <c r="E31" i="8"/>
  <c r="R31" i="8" s="1"/>
  <c r="S31" i="8" s="1"/>
  <c r="E27" i="8"/>
  <c r="E12" i="8"/>
  <c r="AD22" i="2"/>
  <c r="E22" i="8"/>
  <c r="R22" i="8" s="1"/>
  <c r="S22" i="8" s="1"/>
  <c r="H33" i="8"/>
  <c r="H28" i="8"/>
  <c r="H16" i="8"/>
  <c r="R26" i="8"/>
  <c r="S26" i="8" s="1"/>
  <c r="H24" i="8"/>
  <c r="H22" i="8"/>
  <c r="R28" i="8"/>
  <c r="S28" i="8" s="1"/>
  <c r="R38" i="8"/>
  <c r="S38" i="8" s="1"/>
  <c r="R23" i="8"/>
  <c r="S23" i="8" s="1"/>
  <c r="H14" i="8"/>
  <c r="AD36" i="5"/>
  <c r="H36" i="8"/>
  <c r="R36" i="8"/>
  <c r="S36" i="8" s="1"/>
  <c r="AD27" i="5"/>
  <c r="H27" i="8"/>
  <c r="H21" i="8"/>
  <c r="AD21" i="5"/>
  <c r="R20" i="8"/>
  <c r="S20" i="8" s="1"/>
  <c r="R19" i="8"/>
  <c r="S19" i="8" s="1"/>
  <c r="AD11" i="5"/>
  <c r="H11" i="8"/>
  <c r="AD8" i="3"/>
  <c r="F8" i="8"/>
  <c r="AD8" i="2"/>
  <c r="E8" i="8"/>
  <c r="E15" i="8"/>
  <c r="R15" i="8" s="1"/>
  <c r="S15" i="8" s="1"/>
  <c r="E9" i="8"/>
  <c r="E18" i="8"/>
  <c r="R18" i="8" s="1"/>
  <c r="S18" i="8" s="1"/>
  <c r="E10" i="8"/>
  <c r="R10" i="8" s="1"/>
  <c r="S10" i="8" s="1"/>
  <c r="AD10" i="2"/>
  <c r="AD17" i="2"/>
  <c r="E17" i="8"/>
  <c r="AD16" i="2"/>
  <c r="E16" i="8"/>
  <c r="AD11" i="2"/>
  <c r="E11" i="8"/>
  <c r="AD7" i="2"/>
  <c r="E7" i="8"/>
  <c r="R39" i="8"/>
  <c r="S39" i="8" s="1"/>
  <c r="R33" i="8"/>
  <c r="S33" i="8" s="1"/>
  <c r="R25" i="8"/>
  <c r="S25" i="8" s="1"/>
  <c r="R13" i="8"/>
  <c r="S13" i="8" s="1"/>
  <c r="K45" i="8"/>
  <c r="K41" i="8"/>
  <c r="K37" i="8"/>
  <c r="R37" i="8" s="1"/>
  <c r="S37" i="8" s="1"/>
  <c r="R12" i="8" l="1"/>
  <c r="S12" i="8" s="1"/>
  <c r="R7" i="8"/>
  <c r="S7" i="8" s="1"/>
  <c r="R16" i="8"/>
  <c r="S16" i="8" s="1"/>
  <c r="R27" i="8"/>
  <c r="S27" i="8" s="1"/>
  <c r="R41" i="8"/>
  <c r="S41" i="8" s="1"/>
  <c r="R24" i="8"/>
  <c r="S24" i="8" s="1"/>
  <c r="R45" i="8"/>
  <c r="S45" i="8" s="1"/>
  <c r="R29" i="8"/>
  <c r="S29" i="8" s="1"/>
  <c r="R21" i="8"/>
  <c r="S21" i="8" s="1"/>
  <c r="R11" i="8"/>
  <c r="S11" i="8" s="1"/>
  <c r="R9" i="8"/>
  <c r="S9" i="8" s="1"/>
  <c r="R17" i="8"/>
  <c r="S17" i="8" s="1"/>
  <c r="R8" i="8"/>
  <c r="S8" i="8" s="1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31" i="2"/>
  <c r="B32" i="2"/>
  <c r="B10" i="16"/>
  <c r="B9" i="16"/>
  <c r="B8" i="16"/>
  <c r="B7" i="16"/>
  <c r="AD6" i="16"/>
  <c r="AC6" i="16"/>
  <c r="AB6" i="16"/>
  <c r="B6" i="16"/>
  <c r="A6" i="16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B13" i="14"/>
  <c r="B12" i="14"/>
  <c r="B11" i="14"/>
  <c r="B10" i="14"/>
  <c r="B9" i="14"/>
  <c r="B8" i="14"/>
  <c r="B7" i="14"/>
  <c r="AC6" i="14"/>
  <c r="AB6" i="14"/>
  <c r="B6" i="14"/>
  <c r="A6" i="14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B8" i="13"/>
  <c r="B7" i="13"/>
  <c r="AC6" i="13"/>
  <c r="AB6" i="13"/>
  <c r="B6" i="13"/>
  <c r="A6" i="13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B9" i="12"/>
  <c r="B8" i="12"/>
  <c r="B7" i="12"/>
  <c r="AC6" i="12"/>
  <c r="AB6" i="12"/>
  <c r="B6" i="12"/>
  <c r="A6" i="12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B11" i="11"/>
  <c r="B10" i="11"/>
  <c r="B9" i="11"/>
  <c r="B8" i="11"/>
  <c r="B7" i="11"/>
  <c r="AC6" i="11"/>
  <c r="AB6" i="11"/>
  <c r="B6" i="11"/>
  <c r="A6" i="1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B9" i="10"/>
  <c r="B8" i="10"/>
  <c r="B7" i="10"/>
  <c r="AC6" i="10"/>
  <c r="AB6" i="10"/>
  <c r="B6" i="10"/>
  <c r="A6" i="10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C6" i="7"/>
  <c r="AB6" i="7"/>
  <c r="B6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C6" i="6"/>
  <c r="AB6" i="6"/>
  <c r="B6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B10" i="4"/>
  <c r="B9" i="4"/>
  <c r="B8" i="4"/>
  <c r="B7" i="4"/>
  <c r="AC6" i="4"/>
  <c r="AB6" i="4"/>
  <c r="B6" i="4"/>
  <c r="A6" i="4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C6" i="5"/>
  <c r="AB6" i="5"/>
  <c r="B6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B10" i="3"/>
  <c r="B9" i="3"/>
  <c r="B8" i="3"/>
  <c r="B7" i="3"/>
  <c r="AC6" i="3"/>
  <c r="AB6" i="3"/>
  <c r="B6" i="3"/>
  <c r="A6" i="3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AC47" i="5" l="1"/>
  <c r="AD47" i="5" s="1"/>
  <c r="AC47" i="16"/>
  <c r="AD47" i="16" s="1"/>
  <c r="AC47" i="14"/>
  <c r="AD47" i="14" s="1"/>
  <c r="AC47" i="13"/>
  <c r="AD47" i="13" s="1"/>
  <c r="AC47" i="12"/>
  <c r="AD47" i="12" s="1"/>
  <c r="AC47" i="11"/>
  <c r="AD47" i="11" s="1"/>
  <c r="AC47" i="10"/>
  <c r="AD47" i="10" s="1"/>
  <c r="AC47" i="7"/>
  <c r="AD47" i="7" s="1"/>
  <c r="AC47" i="6"/>
  <c r="AD47" i="6" s="1"/>
  <c r="AC47" i="4"/>
  <c r="AD47" i="4" s="1"/>
  <c r="AC47" i="3"/>
  <c r="AD47" i="3" s="1"/>
  <c r="AD6" i="14"/>
  <c r="AD6" i="13"/>
  <c r="AD6" i="12"/>
  <c r="AD6" i="11"/>
  <c r="AD6" i="10"/>
  <c r="AD6" i="7"/>
  <c r="AD6" i="6"/>
  <c r="AD6" i="4"/>
  <c r="AD6" i="5"/>
  <c r="AD6" i="3"/>
  <c r="B6" i="2" l="1"/>
  <c r="B7" i="2"/>
  <c r="B8" i="2"/>
  <c r="B9" i="2"/>
  <c r="B10" i="2"/>
  <c r="T7" i="1"/>
  <c r="U7" i="1"/>
  <c r="V7" i="1" s="1"/>
  <c r="T8" i="1"/>
  <c r="U8" i="1"/>
  <c r="V8" i="1" s="1"/>
  <c r="T9" i="1"/>
  <c r="U9" i="1"/>
  <c r="V9" i="1" s="1"/>
  <c r="T10" i="1"/>
  <c r="U10" i="1"/>
  <c r="V10" i="1"/>
  <c r="T11" i="1"/>
  <c r="U11" i="1"/>
  <c r="V11" i="1" s="1"/>
  <c r="T12" i="1"/>
  <c r="U12" i="1"/>
  <c r="V12" i="1"/>
  <c r="T13" i="1"/>
  <c r="U13" i="1"/>
  <c r="V13" i="1" s="1"/>
  <c r="T14" i="1"/>
  <c r="U14" i="1"/>
  <c r="V14" i="1"/>
  <c r="T15" i="1"/>
  <c r="U15" i="1"/>
  <c r="V15" i="1" s="1"/>
  <c r="T16" i="1"/>
  <c r="U16" i="1"/>
  <c r="V16" i="1"/>
  <c r="T17" i="1"/>
  <c r="U17" i="1"/>
  <c r="V17" i="1" s="1"/>
  <c r="T18" i="1"/>
  <c r="U18" i="1"/>
  <c r="V18" i="1"/>
  <c r="T19" i="1"/>
  <c r="U19" i="1"/>
  <c r="V19" i="1" s="1"/>
  <c r="T20" i="1"/>
  <c r="U20" i="1"/>
  <c r="V20" i="1"/>
  <c r="T21" i="1"/>
  <c r="U21" i="1"/>
  <c r="V21" i="1" s="1"/>
  <c r="T22" i="1"/>
  <c r="U22" i="1"/>
  <c r="V22" i="1"/>
  <c r="T23" i="1"/>
  <c r="U23" i="1"/>
  <c r="V23" i="1" s="1"/>
  <c r="T24" i="1"/>
  <c r="U24" i="1"/>
  <c r="V24" i="1"/>
  <c r="T25" i="1"/>
  <c r="U25" i="1"/>
  <c r="V25" i="1" s="1"/>
  <c r="T26" i="1"/>
  <c r="U26" i="1"/>
  <c r="V26" i="1"/>
  <c r="T27" i="1"/>
  <c r="U27" i="1"/>
  <c r="V27" i="1" s="1"/>
  <c r="T28" i="1"/>
  <c r="U28" i="1"/>
  <c r="V28" i="1" s="1"/>
  <c r="T29" i="1"/>
  <c r="U29" i="1"/>
  <c r="V29" i="1" s="1"/>
  <c r="T30" i="1"/>
  <c r="U30" i="1"/>
  <c r="V30" i="1"/>
  <c r="T31" i="1"/>
  <c r="U31" i="1"/>
  <c r="V31" i="1" s="1"/>
  <c r="T32" i="1"/>
  <c r="U32" i="1"/>
  <c r="V32" i="1"/>
  <c r="T33" i="1"/>
  <c r="U33" i="1"/>
  <c r="V33" i="1" s="1"/>
  <c r="T44" i="1"/>
  <c r="U44" i="1"/>
  <c r="V44" i="1" s="1"/>
  <c r="T45" i="1"/>
  <c r="U45" i="1"/>
  <c r="V45" i="1" s="1"/>
  <c r="U6" i="1"/>
  <c r="U46" i="1"/>
  <c r="V46" i="1" s="1"/>
  <c r="T46" i="1"/>
  <c r="T6" i="1"/>
  <c r="AB6" i="2"/>
  <c r="AC6" i="2" s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6" i="2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C47" i="2" l="1"/>
  <c r="AD47" i="2" s="1"/>
  <c r="V6" i="1"/>
  <c r="X18" i="8"/>
  <c r="U47" i="1"/>
  <c r="V47" i="1" s="1"/>
  <c r="AD6" i="2"/>
  <c r="R6" i="8" s="1"/>
  <c r="S6" i="8" s="1"/>
  <c r="X15" i="8"/>
  <c r="X16" i="8"/>
  <c r="X17" i="8"/>
  <c r="X19" i="8" l="1"/>
  <c r="Y18" i="8" s="1"/>
  <c r="Y17" i="8" l="1"/>
  <c r="Y15" i="8"/>
  <c r="Y16" i="8"/>
</calcChain>
</file>

<file path=xl/sharedStrings.xml><?xml version="1.0" encoding="utf-8"?>
<sst xmlns="http://schemas.openxmlformats.org/spreadsheetml/2006/main" count="1033" uniqueCount="173">
  <si>
    <t>[42]</t>
  </si>
  <si>
    <t>Türkmen dili</t>
  </si>
  <si>
    <t>Edebiýat</t>
  </si>
  <si>
    <t>Iňlis dili</t>
  </si>
  <si>
    <t>ÝDE</t>
  </si>
  <si>
    <t>Algebra</t>
  </si>
  <si>
    <t>Zähmet</t>
  </si>
  <si>
    <t>Taryh</t>
  </si>
  <si>
    <t>Biologiýa</t>
  </si>
  <si>
    <t>Fizika</t>
  </si>
  <si>
    <t>Himiýa</t>
  </si>
  <si>
    <t>Rus dili</t>
  </si>
  <si>
    <t>Kompýuter</t>
  </si>
  <si>
    <t>Bedenterbiýe</t>
  </si>
  <si>
    <t>Okuwçy</t>
  </si>
  <si>
    <t xml:space="preserve">  Synag 1</t>
  </si>
  <si>
    <t xml:space="preserve">  Synag 2</t>
  </si>
  <si>
    <t xml:space="preserve">  Synag 3</t>
  </si>
  <si>
    <t xml:space="preserve">  Synag 4</t>
  </si>
  <si>
    <t xml:space="preserve">  Synag 5</t>
  </si>
  <si>
    <t xml:space="preserve">  Synag 6</t>
  </si>
  <si>
    <t xml:space="preserve">  Synag 7</t>
  </si>
  <si>
    <t xml:space="preserve">  Synag 8</t>
  </si>
  <si>
    <t xml:space="preserve">  Synag 9</t>
  </si>
  <si>
    <t xml:space="preserve">  Synag 10</t>
  </si>
  <si>
    <t xml:space="preserve">  Synag 11</t>
  </si>
  <si>
    <t xml:space="preserve">  Synag 12</t>
  </si>
  <si>
    <t xml:space="preserve">  Synag 13</t>
  </si>
  <si>
    <t xml:space="preserve">  Synag 14</t>
  </si>
  <si>
    <t>Jemi
Bal</t>
  </si>
  <si>
    <t xml:space="preserve">Bal/Baha: </t>
  </si>
  <si>
    <t>Örän gowy</t>
  </si>
  <si>
    <t>Gowy</t>
  </si>
  <si>
    <t>Kanagatlanarly</t>
  </si>
  <si>
    <t>Kanagatlanarsyz</t>
  </si>
  <si>
    <t>Soňky Baha</t>
  </si>
  <si>
    <t>Okuwçynyň
Ortalamasy</t>
  </si>
  <si>
    <t>Atlar şu ýeri</t>
  </si>
  <si>
    <t>Iň az almay</t>
  </si>
  <si>
    <t>Baha</t>
  </si>
  <si>
    <t>Aralyk</t>
  </si>
  <si>
    <t>Ýagdaý</t>
  </si>
  <si>
    <t>Bahalandyryş</t>
  </si>
  <si>
    <t>Geomertiýa</t>
  </si>
  <si>
    <t>Ortalama</t>
  </si>
  <si>
    <t>Synp</t>
  </si>
  <si>
    <t xml:space="preserve">  Synag 15</t>
  </si>
  <si>
    <t xml:space="preserve">  Synag 16</t>
  </si>
  <si>
    <t xml:space="preserve">  Synag 17</t>
  </si>
  <si>
    <t xml:space="preserve">  Synag 18</t>
  </si>
  <si>
    <t xml:space="preserve">  Synag 19</t>
  </si>
  <si>
    <t xml:space="preserve">  Synag 20</t>
  </si>
  <si>
    <t xml:space="preserve">  Synag 21</t>
  </si>
  <si>
    <t xml:space="preserve">  Synag 22</t>
  </si>
  <si>
    <t xml:space="preserve">  Synag 23</t>
  </si>
  <si>
    <t xml:space="preserve">  Synag 24</t>
  </si>
  <si>
    <t>6D synp žurnaly</t>
  </si>
  <si>
    <t>Abdullaýewa Dinara</t>
  </si>
  <si>
    <t>Arslanow Yhlas</t>
  </si>
  <si>
    <t>Aşyrowa Maýsa</t>
  </si>
  <si>
    <t>Atabaýewa Ogulaý</t>
  </si>
  <si>
    <t>Atanazarow Meýlis</t>
  </si>
  <si>
    <t>Babajanowa Aýlar</t>
  </si>
  <si>
    <t>Babajanowa Selbi</t>
  </si>
  <si>
    <t>Ataýew Nurgeldi</t>
  </si>
  <si>
    <t>Batyrow Arafat</t>
  </si>
  <si>
    <t>Çaryýew Kemal</t>
  </si>
  <si>
    <t>Gurbanow Mekanmyrat</t>
  </si>
  <si>
    <t>Hojamuhammedow Guwanç</t>
  </si>
  <si>
    <t xml:space="preserve">Hojamämmedow  </t>
  </si>
  <si>
    <t>Hanowa Gülälek</t>
  </si>
  <si>
    <t>Husainow Serdar</t>
  </si>
  <si>
    <t>Orunowa Täçbibi</t>
  </si>
  <si>
    <t>Ilýasow Älem</t>
  </si>
  <si>
    <t>Karabaýew Begli</t>
  </si>
  <si>
    <t>Kurbanow Wekil</t>
  </si>
  <si>
    <t>Madraimow Seidjan</t>
  </si>
  <si>
    <t>Matmuradowa Gulnur</t>
  </si>
  <si>
    <t>Myradowa Aýjahan</t>
  </si>
  <si>
    <t>Osmanowa Ýyldyz</t>
  </si>
  <si>
    <t>Orazowa Aýnur</t>
  </si>
  <si>
    <t>Orunowa Aýjemal</t>
  </si>
  <si>
    <t>Öwezow Döwlet</t>
  </si>
  <si>
    <t>Piriýew Aýhan</t>
  </si>
  <si>
    <t>Taganow Sanjar</t>
  </si>
  <si>
    <t>Weliýew Öwez</t>
  </si>
  <si>
    <t>Ýagşybaýew Muhammet</t>
  </si>
  <si>
    <t>Ýazberdiýewa Söýli</t>
  </si>
  <si>
    <t>Ýazyýewa Meňli</t>
  </si>
  <si>
    <t>Ýunusow Ýunus</t>
  </si>
  <si>
    <t>Ýusupowa  Jahan</t>
  </si>
  <si>
    <t>Abdullaýew Ýaşnar</t>
  </si>
  <si>
    <t>Hudaýbergenow Arslan</t>
  </si>
  <si>
    <t>Ataýew Aşyr</t>
  </si>
  <si>
    <t>Atabaýew Batyr</t>
  </si>
  <si>
    <t>Ataýew Maksat</t>
  </si>
  <si>
    <t>Ballyýew Batyr</t>
  </si>
  <si>
    <t>Çaryýew Myrat</t>
  </si>
  <si>
    <t>Gurbanow Akmyrat</t>
  </si>
  <si>
    <t>Hojamuhammedow Merdan</t>
  </si>
  <si>
    <t>Hanow Tirkeş</t>
  </si>
  <si>
    <t>Husainow Ulugbek</t>
  </si>
  <si>
    <t>Orunow Amanmyrat</t>
  </si>
  <si>
    <t>Ilýasow Serdar</t>
  </si>
  <si>
    <t>Karabaýew Akmyrat</t>
  </si>
  <si>
    <t>Kurbanow Guwanç</t>
  </si>
  <si>
    <t>Madraimow Zakir</t>
  </si>
  <si>
    <t>Matmuradow Ylham</t>
  </si>
  <si>
    <t>Öräýew Myrat</t>
  </si>
  <si>
    <t>Haýdarow Osman</t>
  </si>
  <si>
    <t>Orazow Batyrmyrat</t>
  </si>
  <si>
    <t>Orunow Guwanç</t>
  </si>
  <si>
    <t>Öwezow Bazar</t>
  </si>
  <si>
    <t>Piriýew Baýrammämmet</t>
  </si>
  <si>
    <t>Taganow Gulmamet</t>
  </si>
  <si>
    <t>Weliýew Ata</t>
  </si>
  <si>
    <t>Ýagşybaýew Gurbangylyç</t>
  </si>
  <si>
    <t>Ýazberdiýew Hoşgeldi</t>
  </si>
  <si>
    <t>Ýazyýew Ymanm</t>
  </si>
  <si>
    <t>Ýunusow Ibrahim</t>
  </si>
  <si>
    <t>Meredow Ýusup</t>
  </si>
  <si>
    <t>yň/iň</t>
  </si>
  <si>
    <t>Çyzuw</t>
  </si>
  <si>
    <t>aymyratayydow@gmail.com</t>
  </si>
  <si>
    <t xml:space="preserve">  Exam 1</t>
  </si>
  <si>
    <t xml:space="preserve">  Exam 2</t>
  </si>
  <si>
    <t xml:space="preserve">  Exam 3</t>
  </si>
  <si>
    <t xml:space="preserve">  Exam 4</t>
  </si>
  <si>
    <t xml:space="preserve">  Exam 5</t>
  </si>
  <si>
    <t xml:space="preserve">  Exam 6</t>
  </si>
  <si>
    <t xml:space="preserve">  Exam 7</t>
  </si>
  <si>
    <t xml:space="preserve">  Exam 8</t>
  </si>
  <si>
    <t xml:space="preserve">  Exam 9</t>
  </si>
  <si>
    <t xml:space="preserve">  Exam 10</t>
  </si>
  <si>
    <t xml:space="preserve">  Exam 11</t>
  </si>
  <si>
    <t xml:space="preserve">  Exam 12</t>
  </si>
  <si>
    <t xml:space="preserve">  Exam 13</t>
  </si>
  <si>
    <t xml:space="preserve">  Exam 14</t>
  </si>
  <si>
    <t xml:space="preserve">  Exam 15</t>
  </si>
  <si>
    <t xml:space="preserve">  Exam 16</t>
  </si>
  <si>
    <t xml:space="preserve">  Exam 17</t>
  </si>
  <si>
    <t xml:space="preserve">  Exam 18</t>
  </si>
  <si>
    <t xml:space="preserve">  Exam 19</t>
  </si>
  <si>
    <t xml:space="preserve">  Exam 20</t>
  </si>
  <si>
    <t xml:space="preserve">  Exam 21</t>
  </si>
  <si>
    <t xml:space="preserve">  Exam 22</t>
  </si>
  <si>
    <t xml:space="preserve">  Exam 23</t>
  </si>
  <si>
    <t xml:space="preserve">  Exam 24</t>
  </si>
  <si>
    <t>Student</t>
  </si>
  <si>
    <t>Student Netijeleri</t>
  </si>
  <si>
    <t>Students:</t>
  </si>
  <si>
    <t>Parents name</t>
  </si>
  <si>
    <t>Email address of Parents</t>
  </si>
  <si>
    <t>6D grade book</t>
  </si>
  <si>
    <t xml:space="preserve">Points/Grade: </t>
  </si>
  <si>
    <t>Class</t>
  </si>
  <si>
    <t>Total Points</t>
  </si>
  <si>
    <t>Average</t>
  </si>
  <si>
    <t>Final Grade</t>
  </si>
  <si>
    <t>Turkmen Language</t>
  </si>
  <si>
    <t>Info</t>
  </si>
  <si>
    <t>Literature</t>
  </si>
  <si>
    <t>English</t>
  </si>
  <si>
    <t>Geometry</t>
  </si>
  <si>
    <t>Biology</t>
  </si>
  <si>
    <t>Physics</t>
  </si>
  <si>
    <t>Chemistry</t>
  </si>
  <si>
    <t>History</t>
  </si>
  <si>
    <t>Russian Language</t>
  </si>
  <si>
    <t>Computer</t>
  </si>
  <si>
    <t>Physical Education</t>
  </si>
  <si>
    <t xml:space="preserve"> We are informing you that your kid </t>
  </si>
  <si>
    <t>Hello Meredow Ýusup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</si>
</sst>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"/>
    <numFmt numFmtId="165" formatCode="0."/>
    <numFmt numFmtId="166" formatCode="General;;&quot;&quot;;@"/>
    <numFmt numFmtId="167" formatCode="0.0"/>
    <numFmt numFmtId="168" formatCode="0.0%"/>
  </numFmts>
  <fonts count="20" x14ac:knownFonts="1">
    <font>
      <sz val="10"/>
      <name val="Arial"/>
      <family val="2"/>
    </font>
    <font>
      <i/>
      <sz val="15"/>
      <name val="Arial"/>
      <family val="2"/>
    </font>
    <font>
      <b/>
      <sz val="11"/>
      <color indexed="63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8"/>
      <color indexed="63"/>
      <name val="Arial"/>
      <family val="2"/>
    </font>
    <font>
      <b/>
      <sz val="10"/>
      <color indexed="17"/>
      <name val="Arial"/>
      <family val="2"/>
    </font>
    <font>
      <sz val="9"/>
      <color indexed="17"/>
      <name val="Arial"/>
      <family val="2"/>
    </font>
    <font>
      <sz val="8"/>
      <color indexed="9"/>
      <name val="Arial"/>
      <family val="2"/>
    </font>
    <font>
      <i/>
      <sz val="8"/>
      <color indexed="23"/>
      <name val="Arial"/>
      <family val="2"/>
    </font>
    <font>
      <sz val="10"/>
      <color indexed="63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0"/>
      <color indexed="22"/>
      <name val="Arial"/>
      <family val="2"/>
    </font>
    <font>
      <sz val="10"/>
      <name val="Arial"/>
      <family val="2"/>
    </font>
    <font>
      <sz val="12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6"/>
        <bgColor indexed="42"/>
      </patternFill>
    </fill>
    <fill>
      <patternFill patternType="solid">
        <fgColor indexed="31"/>
        <bgColor indexed="47"/>
      </patternFill>
    </fill>
    <fill>
      <patternFill patternType="solid">
        <fgColor indexed="42"/>
        <bgColor indexed="26"/>
      </patternFill>
    </fill>
    <fill>
      <patternFill patternType="solid">
        <fgColor indexed="41"/>
        <bgColor indexed="27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41"/>
      </patternFill>
    </fill>
    <fill>
      <patternFill patternType="solid">
        <fgColor indexed="22"/>
        <bgColor indexed="31"/>
      </patternFill>
    </fill>
  </fills>
  <borders count="25">
    <border>
      <left/>
      <right/>
      <top/>
      <bottom/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55"/>
      </left>
      <right style="thin">
        <color indexed="55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23"/>
      </bottom>
      <diagonal/>
    </border>
    <border>
      <left/>
      <right/>
      <top style="thin">
        <color indexed="23"/>
      </top>
      <bottom/>
      <diagonal/>
    </border>
  </borders>
  <cellStyleXfs count="3">
    <xf numFmtId="0" fontId="0" fillId="0" borderId="0"/>
    <xf numFmtId="9" fontId="15" fillId="0" borderId="0" applyFill="0" applyBorder="0" applyAlignment="0" applyProtection="0"/>
    <xf numFmtId="0" fontId="17" fillId="0" borderId="0" applyNumberFormat="0" applyFill="0" applyBorder="0" applyAlignment="0" applyProtection="0"/>
  </cellStyleXfs>
  <cellXfs count="102">
    <xf numFmtId="0" fontId="0" fillId="0" borderId="0" xfId="0"/>
    <xf numFmtId="0" fontId="0" fillId="0" borderId="0" xfId="0" applyFont="1" applyFill="1" applyProtection="1"/>
    <xf numFmtId="0" fontId="0" fillId="0" borderId="0" xfId="0" applyFont="1" applyProtection="1"/>
    <xf numFmtId="0" fontId="1" fillId="2" borderId="0" xfId="0" applyFont="1" applyFill="1" applyProtection="1"/>
    <xf numFmtId="0" fontId="0" fillId="2" borderId="0" xfId="0" applyFont="1" applyFill="1" applyBorder="1" applyProtection="1"/>
    <xf numFmtId="0" fontId="0" fillId="2" borderId="0" xfId="0" applyFill="1"/>
    <xf numFmtId="0" fontId="0" fillId="2" borderId="0" xfId="0" applyFont="1" applyFill="1" applyProtection="1"/>
    <xf numFmtId="0" fontId="2" fillId="3" borderId="1" xfId="0" applyFont="1" applyFill="1" applyBorder="1" applyAlignment="1" applyProtection="1">
      <alignment horizontal="left" indent="2"/>
    </xf>
    <xf numFmtId="0" fontId="2" fillId="3" borderId="2" xfId="0" applyFont="1" applyFill="1" applyBorder="1" applyAlignment="1" applyProtection="1">
      <alignment horizontal="left" indent="2"/>
    </xf>
    <xf numFmtId="0" fontId="2" fillId="3" borderId="2" xfId="0" applyFont="1" applyFill="1" applyBorder="1" applyAlignment="1" applyProtection="1"/>
    <xf numFmtId="0" fontId="2" fillId="3" borderId="3" xfId="0" applyFont="1" applyFill="1" applyBorder="1" applyAlignment="1" applyProtection="1"/>
    <xf numFmtId="0" fontId="0" fillId="0" borderId="0" xfId="0" applyFont="1" applyBorder="1" applyProtection="1"/>
    <xf numFmtId="0" fontId="3" fillId="0" borderId="4" xfId="0" applyFont="1" applyBorder="1" applyAlignment="1" applyProtection="1">
      <alignment horizontal="center"/>
    </xf>
    <xf numFmtId="164" fontId="4" fillId="0" borderId="4" xfId="0" applyNumberFormat="1" applyFont="1" applyFill="1" applyBorder="1" applyAlignment="1" applyProtection="1">
      <alignment horizontal="center" textRotation="90"/>
      <protection locked="0"/>
    </xf>
    <xf numFmtId="164" fontId="4" fillId="0" borderId="0" xfId="0" applyNumberFormat="1" applyFont="1" applyFill="1" applyBorder="1" applyAlignment="1" applyProtection="1">
      <alignment horizontal="center" textRotation="90"/>
      <protection locked="0"/>
    </xf>
    <xf numFmtId="0" fontId="5" fillId="0" borderId="5" xfId="0" applyFont="1" applyFill="1" applyBorder="1" applyAlignment="1" applyProtection="1">
      <alignment horizontal="right" vertical="center"/>
    </xf>
    <xf numFmtId="0" fontId="6" fillId="4" borderId="6" xfId="0" applyNumberFormat="1" applyFont="1" applyFill="1" applyBorder="1" applyAlignment="1" applyProtection="1">
      <alignment horizontal="center"/>
      <protection locked="0"/>
    </xf>
    <xf numFmtId="0" fontId="6" fillId="0" borderId="0" xfId="0" applyNumberFormat="1" applyFont="1" applyFill="1" applyBorder="1" applyAlignment="1" applyProtection="1">
      <alignment horizontal="center"/>
      <protection locked="0"/>
    </xf>
    <xf numFmtId="165" fontId="4" fillId="0" borderId="0" xfId="0" applyNumberFormat="1" applyFont="1" applyBorder="1" applyAlignment="1" applyProtection="1">
      <alignment horizontal="left"/>
    </xf>
    <xf numFmtId="166" fontId="6" fillId="5" borderId="7" xfId="0" applyNumberFormat="1" applyFont="1" applyFill="1" applyBorder="1" applyAlignment="1" applyProtection="1">
      <alignment horizontal="left"/>
    </xf>
    <xf numFmtId="9" fontId="7" fillId="0" borderId="0" xfId="1" applyNumberFormat="1" applyFont="1" applyFill="1" applyBorder="1" applyAlignment="1" applyProtection="1">
      <alignment horizontal="right"/>
      <protection locked="0"/>
    </xf>
    <xf numFmtId="167" fontId="0" fillId="6" borderId="0" xfId="0" applyNumberFormat="1" applyFont="1" applyFill="1" applyBorder="1" applyAlignment="1" applyProtection="1">
      <alignment horizontal="center"/>
    </xf>
    <xf numFmtId="168" fontId="0" fillId="6" borderId="0" xfId="1" applyNumberFormat="1" applyFont="1" applyFill="1" applyBorder="1" applyAlignment="1" applyProtection="1"/>
    <xf numFmtId="0" fontId="0" fillId="6" borderId="0" xfId="0" applyFont="1" applyFill="1" applyAlignment="1" applyProtection="1">
      <alignment horizontal="left"/>
    </xf>
    <xf numFmtId="0" fontId="8" fillId="0" borderId="0" xfId="0" applyFont="1" applyFill="1" applyAlignment="1" applyProtection="1">
      <alignment horizontal="right"/>
    </xf>
    <xf numFmtId="0" fontId="9" fillId="0" borderId="8" xfId="0" applyFont="1" applyFill="1" applyBorder="1" applyAlignment="1" applyProtection="1">
      <alignment horizontal="left"/>
    </xf>
    <xf numFmtId="0" fontId="0" fillId="0" borderId="8" xfId="0" applyFont="1" applyFill="1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center"/>
    </xf>
    <xf numFmtId="167" fontId="0" fillId="0" borderId="0" xfId="0" applyNumberFormat="1" applyFont="1" applyFill="1" applyBorder="1" applyAlignment="1" applyProtection="1">
      <alignment horizontal="center"/>
    </xf>
    <xf numFmtId="168" fontId="0" fillId="0" borderId="0" xfId="1" applyNumberFormat="1" applyFont="1" applyFill="1" applyBorder="1" applyAlignment="1" applyProtection="1"/>
    <xf numFmtId="0" fontId="0" fillId="0" borderId="0" xfId="0" applyFont="1" applyFill="1" applyAlignment="1" applyProtection="1">
      <alignment horizontal="center"/>
    </xf>
    <xf numFmtId="0" fontId="10" fillId="3" borderId="9" xfId="0" applyFont="1" applyFill="1" applyBorder="1" applyAlignment="1" applyProtection="1">
      <alignment horizontal="right" vertical="center"/>
    </xf>
    <xf numFmtId="168" fontId="11" fillId="6" borderId="0" xfId="1" applyNumberFormat="1" applyFont="1" applyFill="1" applyBorder="1" applyAlignment="1" applyProtection="1"/>
    <xf numFmtId="0" fontId="12" fillId="3" borderId="1" xfId="0" applyFont="1" applyFill="1" applyBorder="1" applyAlignment="1" applyProtection="1">
      <alignment horizontal="right"/>
    </xf>
    <xf numFmtId="168" fontId="0" fillId="3" borderId="2" xfId="1" applyNumberFormat="1" applyFont="1" applyFill="1" applyBorder="1" applyAlignment="1" applyProtection="1"/>
    <xf numFmtId="0" fontId="0" fillId="3" borderId="3" xfId="0" applyFont="1" applyFill="1" applyBorder="1" applyAlignment="1" applyProtection="1">
      <alignment horizontal="center"/>
    </xf>
    <xf numFmtId="168" fontId="0" fillId="0" borderId="0" xfId="0" applyNumberFormat="1" applyFont="1" applyFill="1" applyProtection="1"/>
    <xf numFmtId="0" fontId="10" fillId="3" borderId="10" xfId="0" applyFont="1" applyFill="1" applyBorder="1" applyAlignment="1" applyProtection="1">
      <alignment horizontal="right" vertical="center"/>
    </xf>
    <xf numFmtId="0" fontId="6" fillId="5" borderId="7" xfId="0" applyNumberFormat="1" applyFont="1" applyFill="1" applyBorder="1" applyAlignment="1" applyProtection="1">
      <alignment horizontal="left"/>
    </xf>
    <xf numFmtId="0" fontId="0" fillId="2" borderId="11" xfId="0" applyFont="1" applyFill="1" applyBorder="1" applyProtection="1"/>
    <xf numFmtId="0" fontId="0" fillId="2" borderId="11" xfId="0" applyFill="1" applyBorder="1"/>
    <xf numFmtId="0" fontId="0" fillId="2" borderId="12" xfId="0" applyFont="1" applyFill="1" applyBorder="1" applyProtection="1"/>
    <xf numFmtId="0" fontId="0" fillId="0" borderId="0" xfId="0" applyFont="1" applyFill="1" applyBorder="1" applyProtection="1"/>
    <xf numFmtId="0" fontId="0" fillId="0" borderId="0" xfId="0" applyFill="1"/>
    <xf numFmtId="0" fontId="1" fillId="0" borderId="0" xfId="0" applyFont="1" applyFill="1" applyProtection="1"/>
    <xf numFmtId="0" fontId="13" fillId="0" borderId="0" xfId="0" applyFont="1"/>
    <xf numFmtId="0" fontId="0" fillId="0" borderId="0" xfId="0" applyBorder="1" applyAlignment="1">
      <alignment horizontal="left" indent="1"/>
    </xf>
    <xf numFmtId="0" fontId="0" fillId="6" borderId="13" xfId="0" applyFill="1" applyBorder="1"/>
    <xf numFmtId="168" fontId="10" fillId="7" borderId="14" xfId="0" applyNumberFormat="1" applyFont="1" applyFill="1" applyBorder="1" applyAlignment="1" applyProtection="1">
      <alignment horizontal="center" vertical="center"/>
    </xf>
    <xf numFmtId="168" fontId="10" fillId="7" borderId="15" xfId="0" applyNumberFormat="1" applyFont="1" applyFill="1" applyBorder="1" applyAlignment="1" applyProtection="1">
      <alignment horizontal="center" vertical="center"/>
    </xf>
    <xf numFmtId="0" fontId="10" fillId="7" borderId="14" xfId="0" applyFont="1" applyFill="1" applyBorder="1" applyAlignment="1" applyProtection="1">
      <alignment horizontal="center" vertical="center"/>
    </xf>
    <xf numFmtId="0" fontId="0" fillId="6" borderId="6" xfId="0" applyFill="1" applyBorder="1"/>
    <xf numFmtId="168" fontId="10" fillId="7" borderId="13" xfId="0" applyNumberFormat="1" applyFont="1" applyFill="1" applyBorder="1" applyAlignment="1" applyProtection="1">
      <alignment horizontal="center" vertical="center"/>
    </xf>
    <xf numFmtId="0" fontId="10" fillId="7" borderId="6" xfId="0" applyFont="1" applyFill="1" applyBorder="1" applyAlignment="1" applyProtection="1">
      <alignment horizontal="center" vertical="center"/>
    </xf>
    <xf numFmtId="0" fontId="0" fillId="8" borderId="16" xfId="0" applyFill="1" applyBorder="1"/>
    <xf numFmtId="168" fontId="10" fillId="8" borderId="17" xfId="0" applyNumberFormat="1" applyFont="1" applyFill="1" applyBorder="1" applyAlignment="1" applyProtection="1">
      <alignment horizontal="center" vertical="center"/>
    </xf>
    <xf numFmtId="168" fontId="10" fillId="8" borderId="15" xfId="0" applyNumberFormat="1" applyFont="1" applyFill="1" applyBorder="1" applyAlignment="1" applyProtection="1">
      <alignment horizontal="center" vertical="center"/>
    </xf>
    <xf numFmtId="0" fontId="10" fillId="8" borderId="17" xfId="0" applyFont="1" applyFill="1" applyBorder="1" applyAlignment="1" applyProtection="1">
      <alignment horizontal="center" vertical="center"/>
    </xf>
    <xf numFmtId="0" fontId="10" fillId="8" borderId="15" xfId="0" applyFont="1" applyFill="1" applyBorder="1" applyAlignment="1" applyProtection="1">
      <alignment horizontal="center" vertical="center"/>
    </xf>
    <xf numFmtId="0" fontId="0" fillId="8" borderId="18" xfId="0" applyFill="1" applyBorder="1"/>
    <xf numFmtId="168" fontId="10" fillId="0" borderId="13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horizontal="center" vertical="center"/>
    </xf>
    <xf numFmtId="0" fontId="10" fillId="0" borderId="6" xfId="0" applyFont="1" applyFill="1" applyBorder="1" applyAlignment="1" applyProtection="1">
      <alignment horizontal="center" vertical="center"/>
    </xf>
    <xf numFmtId="0" fontId="0" fillId="8" borderId="19" xfId="0" applyFill="1" applyBorder="1"/>
    <xf numFmtId="168" fontId="0" fillId="8" borderId="19" xfId="1" applyNumberFormat="1" applyFont="1" applyFill="1" applyBorder="1" applyAlignment="1" applyProtection="1">
      <alignment horizontal="center"/>
    </xf>
    <xf numFmtId="9" fontId="0" fillId="0" borderId="20" xfId="1" applyFont="1" applyFill="1" applyBorder="1" applyAlignment="1" applyProtection="1">
      <alignment horizontal="center"/>
    </xf>
    <xf numFmtId="9" fontId="0" fillId="0" borderId="21" xfId="1" applyFont="1" applyFill="1" applyBorder="1" applyAlignment="1" applyProtection="1">
      <alignment horizontal="left" indent="1"/>
    </xf>
    <xf numFmtId="0" fontId="0" fillId="0" borderId="22" xfId="0" applyBorder="1" applyAlignment="1">
      <alignment horizontal="center"/>
    </xf>
    <xf numFmtId="168" fontId="0" fillId="0" borderId="5" xfId="1" applyNumberFormat="1" applyFont="1" applyFill="1" applyBorder="1" applyAlignment="1" applyProtection="1">
      <alignment horizontal="center"/>
    </xf>
    <xf numFmtId="0" fontId="0" fillId="0" borderId="5" xfId="0" applyFont="1" applyBorder="1" applyAlignment="1">
      <alignment horizontal="center"/>
    </xf>
    <xf numFmtId="168" fontId="0" fillId="0" borderId="5" xfId="1" applyNumberFormat="1" applyFont="1" applyFill="1" applyBorder="1" applyAlignment="1" applyProtection="1"/>
    <xf numFmtId="0" fontId="0" fillId="0" borderId="5" xfId="0" applyFont="1" applyBorder="1" applyAlignment="1">
      <alignment horizontal="left" indent="1"/>
    </xf>
    <xf numFmtId="0" fontId="0" fillId="0" borderId="5" xfId="0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Font="1" applyBorder="1" applyAlignment="1">
      <alignment horizontal="right"/>
    </xf>
    <xf numFmtId="0" fontId="0" fillId="0" borderId="0" xfId="0" applyBorder="1" applyAlignment="1">
      <alignment horizontal="center"/>
    </xf>
    <xf numFmtId="168" fontId="6" fillId="5" borderId="0" xfId="1" applyNumberFormat="1" applyFont="1" applyFill="1" applyBorder="1" applyAlignment="1" applyProtection="1">
      <alignment horizontal="center"/>
    </xf>
    <xf numFmtId="168" fontId="0" fillId="8" borderId="0" xfId="1" applyNumberFormat="1" applyFont="1" applyFill="1" applyBorder="1" applyAlignment="1" applyProtection="1">
      <alignment horizontal="center"/>
    </xf>
    <xf numFmtId="0" fontId="0" fillId="8" borderId="0" xfId="0" applyFill="1" applyBorder="1" applyAlignment="1">
      <alignment horizontal="center"/>
    </xf>
    <xf numFmtId="168" fontId="0" fillId="8" borderId="0" xfId="1" applyNumberFormat="1" applyFont="1" applyFill="1" applyBorder="1" applyAlignment="1" applyProtection="1"/>
    <xf numFmtId="0" fontId="0" fillId="8" borderId="0" xfId="0" applyFill="1" applyBorder="1" applyAlignment="1">
      <alignment horizontal="left" indent="1"/>
    </xf>
    <xf numFmtId="168" fontId="0" fillId="6" borderId="14" xfId="1" applyNumberFormat="1" applyFont="1" applyFill="1" applyBorder="1" applyAlignment="1" applyProtection="1">
      <alignment horizontal="center"/>
    </xf>
    <xf numFmtId="0" fontId="0" fillId="6" borderId="14" xfId="0" applyFill="1" applyBorder="1" applyAlignment="1">
      <alignment horizontal="center"/>
    </xf>
    <xf numFmtId="168" fontId="0" fillId="6" borderId="14" xfId="1" applyNumberFormat="1" applyFont="1" applyFill="1" applyBorder="1" applyAlignment="1" applyProtection="1"/>
    <xf numFmtId="0" fontId="0" fillId="6" borderId="14" xfId="0" applyFill="1" applyBorder="1" applyAlignment="1">
      <alignment horizontal="left" indent="1"/>
    </xf>
    <xf numFmtId="0" fontId="5" fillId="0" borderId="6" xfId="0" applyFont="1" applyFill="1" applyBorder="1" applyAlignment="1" applyProtection="1">
      <alignment horizontal="right" vertical="center"/>
    </xf>
    <xf numFmtId="0" fontId="10" fillId="3" borderId="0" xfId="0" applyFont="1" applyFill="1" applyBorder="1" applyAlignment="1" applyProtection="1">
      <alignment horizontal="right" vertical="center"/>
    </xf>
    <xf numFmtId="0" fontId="0" fillId="2" borderId="0" xfId="0" applyFont="1" applyFill="1" applyBorder="1" applyAlignment="1" applyProtection="1">
      <alignment horizontal="center" vertical="center"/>
    </xf>
    <xf numFmtId="166" fontId="17" fillId="5" borderId="7" xfId="2" applyNumberFormat="1" applyFill="1" applyBorder="1" applyAlignment="1" applyProtection="1">
      <alignment horizontal="left"/>
    </xf>
    <xf numFmtId="1" fontId="7" fillId="4" borderId="7" xfId="1" applyNumberFormat="1" applyFont="1" applyFill="1" applyBorder="1" applyAlignment="1" applyProtection="1">
      <alignment horizontal="right"/>
      <protection locked="0"/>
    </xf>
    <xf numFmtId="0" fontId="12" fillId="3" borderId="0" xfId="0" applyFont="1" applyFill="1" applyBorder="1" applyAlignment="1" applyProtection="1">
      <alignment horizontal="right"/>
    </xf>
    <xf numFmtId="168" fontId="0" fillId="3" borderId="0" xfId="1" applyNumberFormat="1" applyFont="1" applyFill="1" applyBorder="1" applyAlignment="1" applyProtection="1"/>
    <xf numFmtId="0" fontId="0" fillId="3" borderId="0" xfId="0" applyFont="1" applyFill="1" applyBorder="1" applyAlignment="1" applyProtection="1">
      <alignment horizontal="center"/>
    </xf>
    <xf numFmtId="0" fontId="11" fillId="6" borderId="0" xfId="1" applyNumberFormat="1" applyFont="1" applyFill="1" applyBorder="1" applyAlignment="1" applyProtection="1"/>
    <xf numFmtId="166" fontId="18" fillId="5" borderId="7" xfId="0" applyNumberFormat="1" applyFont="1" applyFill="1" applyBorder="1" applyAlignment="1" applyProtection="1">
      <alignment horizontal="left"/>
    </xf>
    <xf numFmtId="0" fontId="0" fillId="0" borderId="0" xfId="0" applyAlignment="1">
      <alignment wrapText="1"/>
    </xf>
    <xf numFmtId="0" fontId="19" fillId="0" borderId="8" xfId="0" applyFont="1" applyFill="1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center" vertical="center" wrapText="1"/>
    </xf>
    <xf numFmtId="0" fontId="0" fillId="0" borderId="24" xfId="0" applyFont="1" applyBorder="1" applyAlignment="1" applyProtection="1">
      <alignment horizontal="center" vertical="center" wrapText="1"/>
    </xf>
    <xf numFmtId="0" fontId="0" fillId="0" borderId="0" xfId="0" applyFont="1" applyBorder="1" applyAlignment="1" applyProtection="1">
      <alignment horizontal="center" vertical="center" wrapText="1"/>
    </xf>
    <xf numFmtId="0" fontId="16" fillId="2" borderId="23" xfId="0" applyFont="1" applyFill="1" applyBorder="1" applyAlignment="1" applyProtection="1">
      <alignment horizontal="center" vertical="center" wrapText="1"/>
    </xf>
    <xf numFmtId="0" fontId="10" fillId="7" borderId="14" xfId="0" applyFont="1" applyFill="1" applyBorder="1" applyAlignment="1" applyProtection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E7E7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E6E6FF"/>
      <rgbColor rgb="00F2F8E4"/>
      <rgbColor rgb="00FFFF99"/>
      <rgbColor rgb="0099CCFF"/>
      <rgbColor rgb="00FF99CC"/>
      <rgbColor rgb="00CC99FF"/>
      <rgbColor rgb="00E1E1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161925</xdr:colOff>
          <xdr:row>2</xdr:row>
          <xdr:rowOff>0</xdr:rowOff>
        </xdr:from>
        <xdr:to>
          <xdr:col>31</xdr:col>
          <xdr:colOff>962025</xdr:colOff>
          <xdr:row>3</xdr:row>
          <xdr:rowOff>104775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85725</xdr:colOff>
          <xdr:row>1</xdr:row>
          <xdr:rowOff>95250</xdr:rowOff>
        </xdr:from>
        <xdr:to>
          <xdr:col>31</xdr:col>
          <xdr:colOff>885825</xdr:colOff>
          <xdr:row>3</xdr:row>
          <xdr:rowOff>38100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161925</xdr:colOff>
          <xdr:row>2</xdr:row>
          <xdr:rowOff>0</xdr:rowOff>
        </xdr:from>
        <xdr:to>
          <xdr:col>31</xdr:col>
          <xdr:colOff>866775</xdr:colOff>
          <xdr:row>3</xdr:row>
          <xdr:rowOff>133350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123825</xdr:colOff>
          <xdr:row>1</xdr:row>
          <xdr:rowOff>76200</xdr:rowOff>
        </xdr:from>
        <xdr:to>
          <xdr:col>31</xdr:col>
          <xdr:colOff>923925</xdr:colOff>
          <xdr:row>2</xdr:row>
          <xdr:rowOff>552450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228600</xdr:colOff>
          <xdr:row>1</xdr:row>
          <xdr:rowOff>28575</xdr:rowOff>
        </xdr:from>
        <xdr:to>
          <xdr:col>31</xdr:col>
          <xdr:colOff>1028700</xdr:colOff>
          <xdr:row>2</xdr:row>
          <xdr:rowOff>504825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123825</xdr:colOff>
          <xdr:row>1</xdr:row>
          <xdr:rowOff>114300</xdr:rowOff>
        </xdr:from>
        <xdr:to>
          <xdr:col>32</xdr:col>
          <xdr:colOff>161925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200025</xdr:colOff>
          <xdr:row>1</xdr:row>
          <xdr:rowOff>57150</xdr:rowOff>
        </xdr:from>
        <xdr:to>
          <xdr:col>31</xdr:col>
          <xdr:colOff>1000125</xdr:colOff>
          <xdr:row>3</xdr:row>
          <xdr:rowOff>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19050</xdr:colOff>
          <xdr:row>1</xdr:row>
          <xdr:rowOff>47625</xdr:rowOff>
        </xdr:from>
        <xdr:to>
          <xdr:col>32</xdr:col>
          <xdr:colOff>57150</xdr:colOff>
          <xdr:row>2</xdr:row>
          <xdr:rowOff>523875</xdr:rowOff>
        </xdr:to>
        <xdr:sp macro="" textlink="">
          <xdr:nvSpPr>
            <xdr:cNvPr id="17409" name="Command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19050</xdr:colOff>
          <xdr:row>1</xdr:row>
          <xdr:rowOff>19050</xdr:rowOff>
        </xdr:from>
        <xdr:to>
          <xdr:col>32</xdr:col>
          <xdr:colOff>57150</xdr:colOff>
          <xdr:row>2</xdr:row>
          <xdr:rowOff>495300</xdr:rowOff>
        </xdr:to>
        <xdr:sp macro="" textlink="">
          <xdr:nvSpPr>
            <xdr:cNvPr id="18433" name="CommandButton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323850</xdr:colOff>
          <xdr:row>1</xdr:row>
          <xdr:rowOff>38100</xdr:rowOff>
        </xdr:from>
        <xdr:to>
          <xdr:col>32</xdr:col>
          <xdr:colOff>9525</xdr:colOff>
          <xdr:row>2</xdr:row>
          <xdr:rowOff>514350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295275</xdr:colOff>
          <xdr:row>1</xdr:row>
          <xdr:rowOff>66675</xdr:rowOff>
        </xdr:from>
        <xdr:to>
          <xdr:col>31</xdr:col>
          <xdr:colOff>1095375</xdr:colOff>
          <xdr:row>3</xdr:row>
          <xdr:rowOff>9525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</xdr:row>
          <xdr:rowOff>47625</xdr:rowOff>
        </xdr:from>
        <xdr:to>
          <xdr:col>31</xdr:col>
          <xdr:colOff>981075</xdr:colOff>
          <xdr:row>2</xdr:row>
          <xdr:rowOff>523875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</xdr:row>
          <xdr:rowOff>85725</xdr:rowOff>
        </xdr:from>
        <xdr:to>
          <xdr:col>31</xdr:col>
          <xdr:colOff>981075</xdr:colOff>
          <xdr:row>3</xdr:row>
          <xdr:rowOff>28575</xdr:rowOff>
        </xdr:to>
        <xdr:sp macro="" textlink="">
          <xdr:nvSpPr>
            <xdr:cNvPr id="44033" name="CommandButton1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Turkmen%20Language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urkmen Language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aymyratayydow@gmail.com" TargetMode="External"/><Relationship Id="rId1" Type="http://schemas.openxmlformats.org/officeDocument/2006/relationships/hyperlink" Target="mailto:aymyratayydow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5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7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8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9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10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11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12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image" Target="../media/image1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49"/>
  <sheetViews>
    <sheetView topLeftCell="D20" workbookViewId="0">
      <selection activeCell="D6" sqref="D6:D39"/>
    </sheetView>
  </sheetViews>
  <sheetFormatPr defaultRowHeight="12.75" x14ac:dyDescent="0.2"/>
  <cols>
    <col min="1" max="1" width="3.7109375" style="1" customWidth="1"/>
    <col min="2" max="2" width="37.42578125" style="1" bestFit="1" customWidth="1"/>
    <col min="3" max="4" width="37.42578125" style="1" customWidth="1"/>
    <col min="5" max="18" width="7.140625" style="1" customWidth="1"/>
    <col min="19" max="19" width="1.42578125" style="1" customWidth="1"/>
    <col min="20" max="20" width="7.5703125" style="1" customWidth="1"/>
    <col min="21" max="21" width="10.5703125" style="1" bestFit="1" customWidth="1"/>
    <col min="22" max="22" width="6.85546875" style="1" customWidth="1"/>
    <col min="23" max="23" width="5.28515625" style="1" customWidth="1"/>
    <col min="24" max="24" width="16.7109375" style="1" customWidth="1"/>
    <col min="25" max="16384" width="9.140625" style="1"/>
  </cols>
  <sheetData>
    <row r="1" spans="1:22" ht="19.5" x14ac:dyDescent="0.3">
      <c r="A1" s="2"/>
      <c r="B1" s="3" t="s">
        <v>153</v>
      </c>
      <c r="C1" s="3"/>
      <c r="D1" s="3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6"/>
      <c r="V1" s="6"/>
    </row>
    <row r="2" spans="1:22" ht="15" x14ac:dyDescent="0.25">
      <c r="A2" s="2"/>
      <c r="B2" s="7" t="s">
        <v>160</v>
      </c>
      <c r="C2" s="8"/>
      <c r="D2" s="8"/>
      <c r="E2" s="8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42" customHeight="1" x14ac:dyDescent="0.25">
      <c r="A3" s="11"/>
      <c r="B3" s="12" t="s">
        <v>148</v>
      </c>
      <c r="C3" s="12" t="s">
        <v>151</v>
      </c>
      <c r="D3" s="12" t="s">
        <v>152</v>
      </c>
      <c r="E3" s="13" t="s">
        <v>124</v>
      </c>
      <c r="F3" s="13" t="s">
        <v>125</v>
      </c>
      <c r="G3" s="13" t="s">
        <v>126</v>
      </c>
      <c r="H3" s="13" t="s">
        <v>127</v>
      </c>
      <c r="I3" s="13" t="s">
        <v>128</v>
      </c>
      <c r="J3" s="13" t="s">
        <v>129</v>
      </c>
      <c r="K3" s="13" t="s">
        <v>130</v>
      </c>
      <c r="L3" s="13" t="s">
        <v>131</v>
      </c>
      <c r="M3" s="13" t="s">
        <v>132</v>
      </c>
      <c r="N3" s="13" t="s">
        <v>133</v>
      </c>
      <c r="O3" s="13" t="s">
        <v>134</v>
      </c>
      <c r="P3" s="13" t="s">
        <v>135</v>
      </c>
      <c r="Q3" s="13" t="s">
        <v>136</v>
      </c>
      <c r="R3" s="13" t="s">
        <v>137</v>
      </c>
      <c r="S3" s="14"/>
      <c r="T3" s="97" t="s">
        <v>156</v>
      </c>
      <c r="U3" s="98" t="s">
        <v>157</v>
      </c>
      <c r="V3" s="99" t="s">
        <v>158</v>
      </c>
    </row>
    <row r="4" spans="1:22" x14ac:dyDescent="0.2">
      <c r="A4" s="11"/>
      <c r="B4" s="15" t="s">
        <v>154</v>
      </c>
      <c r="C4" s="85"/>
      <c r="D4" s="85"/>
      <c r="E4" s="16">
        <v>5</v>
      </c>
      <c r="F4" s="16">
        <v>5</v>
      </c>
      <c r="G4" s="16">
        <v>5</v>
      </c>
      <c r="H4" s="16">
        <v>5</v>
      </c>
      <c r="I4" s="16">
        <v>5</v>
      </c>
      <c r="J4" s="16">
        <v>5</v>
      </c>
      <c r="K4" s="16">
        <v>5</v>
      </c>
      <c r="L4" s="16">
        <v>5</v>
      </c>
      <c r="M4" s="16">
        <v>5</v>
      </c>
      <c r="N4" s="16">
        <v>5</v>
      </c>
      <c r="O4" s="16">
        <v>5</v>
      </c>
      <c r="P4" s="16">
        <v>5</v>
      </c>
      <c r="Q4" s="16">
        <v>5</v>
      </c>
      <c r="R4" s="16">
        <v>5</v>
      </c>
      <c r="S4" s="17"/>
      <c r="T4" s="97"/>
      <c r="U4" s="97"/>
      <c r="V4" s="97"/>
    </row>
    <row r="5" spans="1:22" ht="6" customHeight="1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</row>
    <row r="6" spans="1:22" x14ac:dyDescent="0.2">
      <c r="A6" s="18">
        <f ca="1">OFFSET(A6,-1,0,1,1)+1</f>
        <v>1</v>
      </c>
      <c r="B6" s="94" t="s">
        <v>57</v>
      </c>
      <c r="C6" s="94" t="s">
        <v>91</v>
      </c>
      <c r="D6" s="88" t="s">
        <v>123</v>
      </c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20"/>
      <c r="T6" s="21" t="str">
        <f>IF(SUM(E6:R6)=0,"",SUMPRODUCT(E6:R6))</f>
        <v/>
      </c>
      <c r="U6" s="22" t="str">
        <f>IF(SUM(E6:R6)=0,"",T6/(SUMIF(E6:R6,"&lt;&gt;",$E$4:$R$4)-SUMIF(E6:R6,"=E",$C$4:$P$4)))</f>
        <v/>
      </c>
      <c r="V6" s="23" t="str">
        <f>IF(U6="","","   "&amp;INDEX(Results!$W$6:$W$18,MATCH(U6,Results!$V$6:$V$18,1)))</f>
        <v/>
      </c>
    </row>
    <row r="7" spans="1:22" x14ac:dyDescent="0.2">
      <c r="A7" s="18">
        <f t="shared" ref="A7:A45" ca="1" si="0">OFFSET(A7,-1,0,1,1)+1</f>
        <v>2</v>
      </c>
      <c r="B7" s="94" t="s">
        <v>58</v>
      </c>
      <c r="C7" s="94" t="s">
        <v>92</v>
      </c>
      <c r="D7" s="88" t="s">
        <v>123</v>
      </c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20"/>
      <c r="T7" s="21" t="str">
        <f t="shared" ref="T7:T45" si="1">IF(SUM(E7:R7)=0,"",SUMPRODUCT(E7:R7))</f>
        <v/>
      </c>
      <c r="U7" s="22" t="str">
        <f t="shared" ref="U7:U45" si="2">IF(SUM(E7:R7)=0,"",T7/(SUMIF(E7:R7,"&lt;&gt;",$E$4:$R$4)-SUMIF(E7:R7,"=E",$C$4:$P$4)))</f>
        <v/>
      </c>
      <c r="V7" s="23" t="str">
        <f>IF(U7="","","   "&amp;INDEX(Results!$W$6:$W$18,MATCH(U7,Results!$V$6:$V$18,1)))</f>
        <v/>
      </c>
    </row>
    <row r="8" spans="1:22" x14ac:dyDescent="0.2">
      <c r="A8" s="18">
        <f t="shared" ca="1" si="0"/>
        <v>3</v>
      </c>
      <c r="B8" s="94" t="s">
        <v>59</v>
      </c>
      <c r="C8" s="94" t="s">
        <v>93</v>
      </c>
      <c r="D8" s="88" t="s">
        <v>123</v>
      </c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20"/>
      <c r="T8" s="21" t="str">
        <f t="shared" si="1"/>
        <v/>
      </c>
      <c r="U8" s="22" t="str">
        <f t="shared" si="2"/>
        <v/>
      </c>
      <c r="V8" s="23" t="str">
        <f>IF(U8="","","   "&amp;INDEX(Results!$W$6:$W$18,MATCH(U8,Results!$V$6:$V$18,1)))</f>
        <v/>
      </c>
    </row>
    <row r="9" spans="1:22" x14ac:dyDescent="0.2">
      <c r="A9" s="18">
        <f t="shared" ca="1" si="0"/>
        <v>4</v>
      </c>
      <c r="B9" s="94" t="s">
        <v>60</v>
      </c>
      <c r="C9" s="94" t="s">
        <v>94</v>
      </c>
      <c r="D9" s="88" t="s">
        <v>123</v>
      </c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20"/>
      <c r="T9" s="21" t="str">
        <f t="shared" si="1"/>
        <v/>
      </c>
      <c r="U9" s="22" t="str">
        <f t="shared" si="2"/>
        <v/>
      </c>
      <c r="V9" s="23" t="str">
        <f>IF(U9="","","   "&amp;INDEX(Results!$W$6:$W$18,MATCH(U9,Results!$V$6:$V$18,1)))</f>
        <v/>
      </c>
    </row>
    <row r="10" spans="1:22" x14ac:dyDescent="0.2">
      <c r="A10" s="18">
        <f t="shared" ca="1" si="0"/>
        <v>5</v>
      </c>
      <c r="B10" s="94" t="s">
        <v>61</v>
      </c>
      <c r="C10" s="94" t="s">
        <v>61</v>
      </c>
      <c r="D10" s="88" t="s">
        <v>123</v>
      </c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20"/>
      <c r="T10" s="21" t="str">
        <f t="shared" si="1"/>
        <v/>
      </c>
      <c r="U10" s="22" t="str">
        <f t="shared" si="2"/>
        <v/>
      </c>
      <c r="V10" s="23" t="str">
        <f>IF(U10="","","   "&amp;INDEX(Results!$W$6:$W$18,MATCH(U10,Results!$V$6:$V$18,1)))</f>
        <v/>
      </c>
    </row>
    <row r="11" spans="1:22" x14ac:dyDescent="0.2">
      <c r="A11" s="18">
        <f t="shared" ca="1" si="0"/>
        <v>6</v>
      </c>
      <c r="B11" s="94" t="s">
        <v>62</v>
      </c>
      <c r="C11" s="94"/>
      <c r="D11" s="88" t="s">
        <v>123</v>
      </c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20"/>
      <c r="T11" s="21" t="str">
        <f t="shared" si="1"/>
        <v/>
      </c>
      <c r="U11" s="22" t="str">
        <f t="shared" si="2"/>
        <v/>
      </c>
      <c r="V11" s="23" t="str">
        <f>IF(U11="","","   "&amp;INDEX(Results!$W$6:$W$18,MATCH(U11,Results!$V$6:$V$18,1)))</f>
        <v/>
      </c>
    </row>
    <row r="12" spans="1:22" x14ac:dyDescent="0.2">
      <c r="A12" s="18">
        <f t="shared" ca="1" si="0"/>
        <v>7</v>
      </c>
      <c r="B12" s="94" t="s">
        <v>63</v>
      </c>
      <c r="C12" s="94"/>
      <c r="D12" s="88" t="s">
        <v>123</v>
      </c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20"/>
      <c r="T12" s="21" t="str">
        <f t="shared" si="1"/>
        <v/>
      </c>
      <c r="U12" s="22" t="str">
        <f t="shared" si="2"/>
        <v/>
      </c>
      <c r="V12" s="23" t="str">
        <f>IF(U12="","","   "&amp;INDEX(Results!$W$6:$W$18,MATCH(U12,Results!$V$6:$V$18,1)))</f>
        <v/>
      </c>
    </row>
    <row r="13" spans="1:22" x14ac:dyDescent="0.2">
      <c r="A13" s="18">
        <f t="shared" ca="1" si="0"/>
        <v>8</v>
      </c>
      <c r="B13" s="94" t="s">
        <v>64</v>
      </c>
      <c r="C13" s="94" t="s">
        <v>95</v>
      </c>
      <c r="D13" s="88" t="s">
        <v>123</v>
      </c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20"/>
      <c r="T13" s="21" t="str">
        <f t="shared" si="1"/>
        <v/>
      </c>
      <c r="U13" s="22" t="str">
        <f t="shared" si="2"/>
        <v/>
      </c>
      <c r="V13" s="23" t="str">
        <f>IF(U13="","","   "&amp;INDEX(Results!$W$6:$W$18,MATCH(U13,Results!$V$6:$V$18,1)))</f>
        <v/>
      </c>
    </row>
    <row r="14" spans="1:22" x14ac:dyDescent="0.2">
      <c r="A14" s="18">
        <f t="shared" ca="1" si="0"/>
        <v>9</v>
      </c>
      <c r="B14" s="94" t="s">
        <v>65</v>
      </c>
      <c r="C14" s="94" t="s">
        <v>96</v>
      </c>
      <c r="D14" s="88" t="s">
        <v>123</v>
      </c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20"/>
      <c r="T14" s="21" t="str">
        <f t="shared" si="1"/>
        <v/>
      </c>
      <c r="U14" s="22" t="str">
        <f t="shared" si="2"/>
        <v/>
      </c>
      <c r="V14" s="23" t="str">
        <f>IF(U14="","","   "&amp;INDEX(Results!$W$6:$W$18,MATCH(U14,Results!$V$6:$V$18,1)))</f>
        <v/>
      </c>
    </row>
    <row r="15" spans="1:22" x14ac:dyDescent="0.2">
      <c r="A15" s="18">
        <f t="shared" ca="1" si="0"/>
        <v>10</v>
      </c>
      <c r="B15" s="94" t="s">
        <v>66</v>
      </c>
      <c r="C15" s="94" t="s">
        <v>97</v>
      </c>
      <c r="D15" s="88" t="s">
        <v>123</v>
      </c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20"/>
      <c r="T15" s="21" t="str">
        <f t="shared" si="1"/>
        <v/>
      </c>
      <c r="U15" s="22" t="str">
        <f t="shared" si="2"/>
        <v/>
      </c>
      <c r="V15" s="23" t="str">
        <f>IF(U15="","","   "&amp;INDEX(Results!$W$6:$W$18,MATCH(U15,Results!$V$6:$V$18,1)))</f>
        <v/>
      </c>
    </row>
    <row r="16" spans="1:22" x14ac:dyDescent="0.2">
      <c r="A16" s="18">
        <f t="shared" ca="1" si="0"/>
        <v>11</v>
      </c>
      <c r="B16" s="94" t="s">
        <v>67</v>
      </c>
      <c r="C16" s="94" t="s">
        <v>98</v>
      </c>
      <c r="D16" s="88" t="s">
        <v>123</v>
      </c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20"/>
      <c r="T16" s="21" t="str">
        <f t="shared" si="1"/>
        <v/>
      </c>
      <c r="U16" s="22" t="str">
        <f t="shared" si="2"/>
        <v/>
      </c>
      <c r="V16" s="23" t="str">
        <f>IF(U16="","","   "&amp;INDEX(Results!$W$6:$W$18,MATCH(U16,Results!$V$6:$V$18,1)))</f>
        <v/>
      </c>
    </row>
    <row r="17" spans="1:22" x14ac:dyDescent="0.2">
      <c r="A17" s="18">
        <f t="shared" ca="1" si="0"/>
        <v>12</v>
      </c>
      <c r="B17" s="94" t="s">
        <v>68</v>
      </c>
      <c r="C17" s="94" t="s">
        <v>99</v>
      </c>
      <c r="D17" s="88" t="s">
        <v>123</v>
      </c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20"/>
      <c r="T17" s="21" t="str">
        <f t="shared" si="1"/>
        <v/>
      </c>
      <c r="U17" s="22" t="str">
        <f t="shared" si="2"/>
        <v/>
      </c>
      <c r="V17" s="23" t="str">
        <f>IF(U17="","","   "&amp;INDEX(Results!$W$6:$W$18,MATCH(U17,Results!$V$6:$V$18,1)))</f>
        <v/>
      </c>
    </row>
    <row r="18" spans="1:22" x14ac:dyDescent="0.2">
      <c r="A18" s="18">
        <f t="shared" ca="1" si="0"/>
        <v>13</v>
      </c>
      <c r="B18" s="94" t="s">
        <v>69</v>
      </c>
      <c r="C18" s="94"/>
      <c r="D18" s="88" t="s">
        <v>123</v>
      </c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20"/>
      <c r="T18" s="21" t="str">
        <f t="shared" si="1"/>
        <v/>
      </c>
      <c r="U18" s="22" t="str">
        <f t="shared" si="2"/>
        <v/>
      </c>
      <c r="V18" s="23" t="str">
        <f>IF(U18="","","   "&amp;INDEX(Results!$W$6:$W$18,MATCH(U18,Results!$V$6:$V$18,1)))</f>
        <v/>
      </c>
    </row>
    <row r="19" spans="1:22" x14ac:dyDescent="0.2">
      <c r="A19" s="18">
        <f t="shared" ca="1" si="0"/>
        <v>14</v>
      </c>
      <c r="B19" s="94" t="s">
        <v>70</v>
      </c>
      <c r="C19" s="94" t="s">
        <v>100</v>
      </c>
      <c r="D19" s="88" t="s">
        <v>123</v>
      </c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20"/>
      <c r="T19" s="21" t="str">
        <f t="shared" si="1"/>
        <v/>
      </c>
      <c r="U19" s="22" t="str">
        <f t="shared" si="2"/>
        <v/>
      </c>
      <c r="V19" s="23" t="str">
        <f>IF(U19="","","   "&amp;INDEX(Results!$W$6:$W$18,MATCH(U19,Results!$V$6:$V$18,1)))</f>
        <v/>
      </c>
    </row>
    <row r="20" spans="1:22" x14ac:dyDescent="0.2">
      <c r="A20" s="18">
        <f t="shared" ca="1" si="0"/>
        <v>15</v>
      </c>
      <c r="B20" s="94" t="s">
        <v>71</v>
      </c>
      <c r="C20" s="94" t="s">
        <v>101</v>
      </c>
      <c r="D20" s="88" t="s">
        <v>123</v>
      </c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20"/>
      <c r="T20" s="21" t="str">
        <f t="shared" si="1"/>
        <v/>
      </c>
      <c r="U20" s="22" t="str">
        <f t="shared" si="2"/>
        <v/>
      </c>
      <c r="V20" s="23" t="str">
        <f>IF(U20="","","   "&amp;INDEX(Results!$W$6:$W$18,MATCH(U20,Results!$V$6:$V$18,1)))</f>
        <v/>
      </c>
    </row>
    <row r="21" spans="1:22" x14ac:dyDescent="0.2">
      <c r="A21" s="18">
        <f t="shared" ca="1" si="0"/>
        <v>16</v>
      </c>
      <c r="B21" s="94" t="s">
        <v>72</v>
      </c>
      <c r="C21" s="94" t="s">
        <v>102</v>
      </c>
      <c r="D21" s="88" t="s">
        <v>123</v>
      </c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20"/>
      <c r="T21" s="21" t="str">
        <f t="shared" si="1"/>
        <v/>
      </c>
      <c r="U21" s="22" t="str">
        <f t="shared" si="2"/>
        <v/>
      </c>
      <c r="V21" s="23" t="str">
        <f>IF(U21="","","   "&amp;INDEX(Results!$W$6:$W$18,MATCH(U21,Results!$V$6:$V$18,1)))</f>
        <v/>
      </c>
    </row>
    <row r="22" spans="1:22" x14ac:dyDescent="0.2">
      <c r="A22" s="18">
        <f t="shared" ca="1" si="0"/>
        <v>17</v>
      </c>
      <c r="B22" s="94" t="s">
        <v>73</v>
      </c>
      <c r="C22" s="94" t="s">
        <v>103</v>
      </c>
      <c r="D22" s="88" t="s">
        <v>123</v>
      </c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20"/>
      <c r="T22" s="21" t="str">
        <f t="shared" si="1"/>
        <v/>
      </c>
      <c r="U22" s="22" t="str">
        <f t="shared" si="2"/>
        <v/>
      </c>
      <c r="V22" s="23" t="str">
        <f>IF(U22="","","   "&amp;INDEX(Results!$W$6:$W$18,MATCH(U22,Results!$V$6:$V$18,1)))</f>
        <v/>
      </c>
    </row>
    <row r="23" spans="1:22" x14ac:dyDescent="0.2">
      <c r="A23" s="18">
        <f t="shared" ca="1" si="0"/>
        <v>18</v>
      </c>
      <c r="B23" s="94" t="s">
        <v>74</v>
      </c>
      <c r="C23" s="94" t="s">
        <v>104</v>
      </c>
      <c r="D23" s="88" t="s">
        <v>123</v>
      </c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20"/>
      <c r="T23" s="21" t="str">
        <f t="shared" si="1"/>
        <v/>
      </c>
      <c r="U23" s="22" t="str">
        <f t="shared" si="2"/>
        <v/>
      </c>
      <c r="V23" s="23" t="str">
        <f>IF(U23="","","   "&amp;INDEX(Results!$W$6:$W$18,MATCH(U23,Results!$V$6:$V$18,1)))</f>
        <v/>
      </c>
    </row>
    <row r="24" spans="1:22" x14ac:dyDescent="0.2">
      <c r="A24" s="18">
        <f t="shared" ca="1" si="0"/>
        <v>19</v>
      </c>
      <c r="B24" s="94" t="s">
        <v>75</v>
      </c>
      <c r="C24" s="94" t="s">
        <v>105</v>
      </c>
      <c r="D24" s="88" t="s">
        <v>123</v>
      </c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20"/>
      <c r="T24" s="21" t="str">
        <f t="shared" si="1"/>
        <v/>
      </c>
      <c r="U24" s="22" t="str">
        <f t="shared" si="2"/>
        <v/>
      </c>
      <c r="V24" s="23" t="str">
        <f>IF(U24="","","   "&amp;INDEX(Results!$W$6:$W$18,MATCH(U24,Results!$V$6:$V$18,1)))</f>
        <v/>
      </c>
    </row>
    <row r="25" spans="1:22" x14ac:dyDescent="0.2">
      <c r="A25" s="18">
        <f t="shared" ca="1" si="0"/>
        <v>20</v>
      </c>
      <c r="B25" s="94" t="s">
        <v>76</v>
      </c>
      <c r="C25" s="94" t="s">
        <v>106</v>
      </c>
      <c r="D25" s="88" t="s">
        <v>123</v>
      </c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20"/>
      <c r="T25" s="21" t="str">
        <f t="shared" si="1"/>
        <v/>
      </c>
      <c r="U25" s="22" t="str">
        <f t="shared" si="2"/>
        <v/>
      </c>
      <c r="V25" s="23" t="str">
        <f>IF(U25="","","   "&amp;INDEX(Results!$W$6:$W$18,MATCH(U25,Results!$V$6:$V$18,1)))</f>
        <v/>
      </c>
    </row>
    <row r="26" spans="1:22" x14ac:dyDescent="0.2">
      <c r="A26" s="18">
        <f t="shared" ca="1" si="0"/>
        <v>21</v>
      </c>
      <c r="B26" s="94" t="s">
        <v>77</v>
      </c>
      <c r="C26" s="94" t="s">
        <v>107</v>
      </c>
      <c r="D26" s="88" t="s">
        <v>123</v>
      </c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20"/>
      <c r="T26" s="21" t="str">
        <f t="shared" si="1"/>
        <v/>
      </c>
      <c r="U26" s="22" t="str">
        <f t="shared" si="2"/>
        <v/>
      </c>
      <c r="V26" s="23" t="str">
        <f>IF(U26="","","   "&amp;INDEX(Results!$W$6:$W$18,MATCH(U26,Results!$V$6:$V$18,1)))</f>
        <v/>
      </c>
    </row>
    <row r="27" spans="1:22" x14ac:dyDescent="0.2">
      <c r="A27" s="18">
        <f t="shared" ca="1" si="0"/>
        <v>22</v>
      </c>
      <c r="B27" s="94" t="s">
        <v>78</v>
      </c>
      <c r="C27" s="94" t="s">
        <v>108</v>
      </c>
      <c r="D27" s="88" t="s">
        <v>123</v>
      </c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20"/>
      <c r="T27" s="21" t="str">
        <f t="shared" si="1"/>
        <v/>
      </c>
      <c r="U27" s="22" t="str">
        <f t="shared" si="2"/>
        <v/>
      </c>
      <c r="V27" s="23" t="str">
        <f>IF(U27="","","   "&amp;INDEX(Results!$W$6:$W$18,MATCH(U27,Results!$V$6:$V$18,1)))</f>
        <v/>
      </c>
    </row>
    <row r="28" spans="1:22" x14ac:dyDescent="0.2">
      <c r="A28" s="18">
        <f t="shared" ca="1" si="0"/>
        <v>23</v>
      </c>
      <c r="B28" s="94" t="s">
        <v>79</v>
      </c>
      <c r="C28" s="94" t="s">
        <v>109</v>
      </c>
      <c r="D28" s="88" t="s">
        <v>123</v>
      </c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20"/>
      <c r="T28" s="21" t="str">
        <f t="shared" si="1"/>
        <v/>
      </c>
      <c r="U28" s="22" t="str">
        <f t="shared" si="2"/>
        <v/>
      </c>
      <c r="V28" s="23" t="str">
        <f>IF(U28="","","   "&amp;INDEX(Results!$W$6:$W$18,MATCH(U28,Results!$V$6:$V$18,1)))</f>
        <v/>
      </c>
    </row>
    <row r="29" spans="1:22" x14ac:dyDescent="0.2">
      <c r="A29" s="18">
        <f t="shared" ca="1" si="0"/>
        <v>24</v>
      </c>
      <c r="B29" s="94" t="s">
        <v>80</v>
      </c>
      <c r="C29" s="94" t="s">
        <v>110</v>
      </c>
      <c r="D29" s="88" t="s">
        <v>123</v>
      </c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20"/>
      <c r="T29" s="21" t="str">
        <f t="shared" si="1"/>
        <v/>
      </c>
      <c r="U29" s="22" t="str">
        <f t="shared" si="2"/>
        <v/>
      </c>
      <c r="V29" s="23" t="str">
        <f>IF(U29="","","   "&amp;INDEX(Results!$W$6:$W$18,MATCH(U29,Results!$V$6:$V$18,1)))</f>
        <v/>
      </c>
    </row>
    <row r="30" spans="1:22" x14ac:dyDescent="0.2">
      <c r="A30" s="18">
        <f t="shared" ca="1" si="0"/>
        <v>25</v>
      </c>
      <c r="B30" s="94" t="s">
        <v>81</v>
      </c>
      <c r="C30" s="94" t="s">
        <v>111</v>
      </c>
      <c r="D30" s="88" t="s">
        <v>123</v>
      </c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20"/>
      <c r="T30" s="21" t="str">
        <f t="shared" si="1"/>
        <v/>
      </c>
      <c r="U30" s="22" t="str">
        <f t="shared" si="2"/>
        <v/>
      </c>
      <c r="V30" s="23" t="str">
        <f>IF(U30="","","   "&amp;INDEX(Results!$W$6:$W$18,MATCH(U30,Results!$V$6:$V$18,1)))</f>
        <v/>
      </c>
    </row>
    <row r="31" spans="1:22" x14ac:dyDescent="0.2">
      <c r="A31" s="18">
        <f t="shared" ca="1" si="0"/>
        <v>26</v>
      </c>
      <c r="B31" s="94" t="s">
        <v>82</v>
      </c>
      <c r="C31" s="94" t="s">
        <v>112</v>
      </c>
      <c r="D31" s="88" t="s">
        <v>123</v>
      </c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20"/>
      <c r="T31" s="21" t="str">
        <f t="shared" si="1"/>
        <v/>
      </c>
      <c r="U31" s="22" t="str">
        <f t="shared" si="2"/>
        <v/>
      </c>
      <c r="V31" s="23" t="str">
        <f>IF(U31="","","   "&amp;INDEX(Results!$W$6:$W$18,MATCH(U31,Results!$V$6:$V$18,1)))</f>
        <v/>
      </c>
    </row>
    <row r="32" spans="1:22" x14ac:dyDescent="0.2">
      <c r="A32" s="18">
        <f t="shared" ca="1" si="0"/>
        <v>27</v>
      </c>
      <c r="B32" s="94" t="s">
        <v>83</v>
      </c>
      <c r="C32" s="94" t="s">
        <v>113</v>
      </c>
      <c r="D32" s="88" t="s">
        <v>123</v>
      </c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20"/>
      <c r="T32" s="21" t="str">
        <f t="shared" si="1"/>
        <v/>
      </c>
      <c r="U32" s="22" t="str">
        <f t="shared" si="2"/>
        <v/>
      </c>
      <c r="V32" s="23" t="str">
        <f>IF(U32="","","   "&amp;INDEX(Results!$W$6:$W$18,MATCH(U32,Results!$V$6:$V$18,1)))</f>
        <v/>
      </c>
    </row>
    <row r="33" spans="1:24" x14ac:dyDescent="0.2">
      <c r="A33" s="18">
        <f t="shared" ca="1" si="0"/>
        <v>28</v>
      </c>
      <c r="B33" s="94" t="s">
        <v>84</v>
      </c>
      <c r="C33" s="94" t="s">
        <v>114</v>
      </c>
      <c r="D33" s="88" t="s">
        <v>123</v>
      </c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20"/>
      <c r="T33" s="21" t="str">
        <f t="shared" si="1"/>
        <v/>
      </c>
      <c r="U33" s="22" t="str">
        <f t="shared" si="2"/>
        <v/>
      </c>
      <c r="V33" s="23" t="str">
        <f>IF(U33="","","   "&amp;INDEX(Results!$W$6:$W$18,MATCH(U33,Results!$V$6:$V$18,1)))</f>
        <v/>
      </c>
    </row>
    <row r="34" spans="1:24" x14ac:dyDescent="0.2">
      <c r="A34" s="18">
        <f t="shared" ca="1" si="0"/>
        <v>29</v>
      </c>
      <c r="B34" s="94" t="s">
        <v>85</v>
      </c>
      <c r="C34" s="94" t="s">
        <v>115</v>
      </c>
      <c r="D34" s="88" t="s">
        <v>123</v>
      </c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20"/>
      <c r="T34" s="21"/>
      <c r="U34" s="22"/>
      <c r="V34" s="23"/>
    </row>
    <row r="35" spans="1:24" x14ac:dyDescent="0.2">
      <c r="A35" s="18">
        <f t="shared" ca="1" si="0"/>
        <v>30</v>
      </c>
      <c r="B35" s="94" t="s">
        <v>86</v>
      </c>
      <c r="C35" s="94" t="s">
        <v>116</v>
      </c>
      <c r="D35" s="88" t="s">
        <v>123</v>
      </c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20"/>
      <c r="T35" s="21"/>
      <c r="U35" s="22"/>
      <c r="V35" s="23"/>
    </row>
    <row r="36" spans="1:24" x14ac:dyDescent="0.2">
      <c r="A36" s="18">
        <f t="shared" ca="1" si="0"/>
        <v>31</v>
      </c>
      <c r="B36" s="94" t="s">
        <v>87</v>
      </c>
      <c r="C36" s="94" t="s">
        <v>117</v>
      </c>
      <c r="D36" s="88" t="s">
        <v>123</v>
      </c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20"/>
      <c r="T36" s="21"/>
      <c r="U36" s="22"/>
      <c r="V36" s="23"/>
    </row>
    <row r="37" spans="1:24" x14ac:dyDescent="0.2">
      <c r="A37" s="18">
        <f t="shared" ca="1" si="0"/>
        <v>32</v>
      </c>
      <c r="B37" s="94" t="s">
        <v>88</v>
      </c>
      <c r="C37" s="94" t="s">
        <v>118</v>
      </c>
      <c r="D37" s="88" t="s">
        <v>123</v>
      </c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20"/>
      <c r="T37" s="21"/>
      <c r="U37" s="22"/>
      <c r="V37" s="23"/>
    </row>
    <row r="38" spans="1:24" x14ac:dyDescent="0.2">
      <c r="A38" s="18">
        <f t="shared" ca="1" si="0"/>
        <v>33</v>
      </c>
      <c r="B38" s="94" t="s">
        <v>89</v>
      </c>
      <c r="C38" s="94" t="s">
        <v>119</v>
      </c>
      <c r="D38" s="88" t="s">
        <v>123</v>
      </c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20"/>
      <c r="T38" s="21"/>
      <c r="U38" s="22"/>
      <c r="V38" s="23"/>
    </row>
    <row r="39" spans="1:24" x14ac:dyDescent="0.2">
      <c r="A39" s="18">
        <f t="shared" ca="1" si="0"/>
        <v>34</v>
      </c>
      <c r="B39" s="94" t="s">
        <v>90</v>
      </c>
      <c r="C39" s="94" t="s">
        <v>120</v>
      </c>
      <c r="D39" s="88" t="s">
        <v>123</v>
      </c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20"/>
      <c r="T39" s="21"/>
      <c r="U39" s="22"/>
      <c r="V39" s="23"/>
    </row>
    <row r="40" spans="1:24" x14ac:dyDescent="0.2">
      <c r="A40" s="18">
        <f t="shared" ca="1" si="0"/>
        <v>35</v>
      </c>
      <c r="B40" s="19" t="s">
        <v>37</v>
      </c>
      <c r="C40" s="19"/>
      <c r="D40" s="1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20"/>
      <c r="T40" s="21"/>
      <c r="U40" s="22"/>
      <c r="V40" s="23"/>
    </row>
    <row r="41" spans="1:24" x14ac:dyDescent="0.2">
      <c r="A41" s="18">
        <f t="shared" ca="1" si="0"/>
        <v>36</v>
      </c>
      <c r="B41" s="19" t="s">
        <v>37</v>
      </c>
      <c r="C41" s="19"/>
      <c r="D41" s="1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20"/>
      <c r="T41" s="21"/>
      <c r="U41" s="22"/>
      <c r="V41" s="23"/>
    </row>
    <row r="42" spans="1:24" x14ac:dyDescent="0.2">
      <c r="A42" s="18">
        <f t="shared" ca="1" si="0"/>
        <v>37</v>
      </c>
      <c r="B42" s="19" t="s">
        <v>37</v>
      </c>
      <c r="C42" s="19"/>
      <c r="D42" s="1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20"/>
      <c r="T42" s="21"/>
      <c r="U42" s="22"/>
      <c r="V42" s="23"/>
    </row>
    <row r="43" spans="1:24" x14ac:dyDescent="0.2">
      <c r="A43" s="18">
        <f t="shared" ca="1" si="0"/>
        <v>38</v>
      </c>
      <c r="B43" s="19" t="s">
        <v>37</v>
      </c>
      <c r="C43" s="19"/>
      <c r="D43" s="1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20"/>
      <c r="T43" s="21"/>
      <c r="U43" s="22"/>
      <c r="V43" s="23"/>
    </row>
    <row r="44" spans="1:24" x14ac:dyDescent="0.2">
      <c r="A44" s="18">
        <f t="shared" ca="1" si="0"/>
        <v>39</v>
      </c>
      <c r="B44" s="19" t="s">
        <v>37</v>
      </c>
      <c r="C44" s="19"/>
      <c r="D44" s="1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20"/>
      <c r="T44" s="21" t="str">
        <f t="shared" si="1"/>
        <v/>
      </c>
      <c r="U44" s="22" t="str">
        <f t="shared" si="2"/>
        <v/>
      </c>
      <c r="V44" s="23" t="str">
        <f>IF(U44="","","   "&amp;INDEX(Results!$W$6:$W$18,MATCH(U44,Results!$V$6:$V$18,1)))</f>
        <v/>
      </c>
    </row>
    <row r="45" spans="1:24" x14ac:dyDescent="0.2">
      <c r="A45" s="18">
        <f t="shared" ca="1" si="0"/>
        <v>40</v>
      </c>
      <c r="B45" s="19" t="s">
        <v>37</v>
      </c>
      <c r="C45" s="19"/>
      <c r="D45" s="1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20"/>
      <c r="T45" s="21" t="str">
        <f t="shared" si="1"/>
        <v/>
      </c>
      <c r="U45" s="22" t="str">
        <f t="shared" si="2"/>
        <v/>
      </c>
      <c r="V45" s="23" t="str">
        <f>IF(U45="","","   "&amp;INDEX(Results!$W$6:$W$18,MATCH(U45,Results!$V$6:$V$18,1)))</f>
        <v/>
      </c>
    </row>
    <row r="46" spans="1:24" ht="6.75" customHeight="1" x14ac:dyDescent="0.2">
      <c r="A46" s="24" t="s">
        <v>0</v>
      </c>
      <c r="B46" s="25"/>
      <c r="C46" s="25"/>
      <c r="D46" s="25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7"/>
      <c r="T46" s="28" t="str">
        <f>IF(SUM(E46:R46)=0,"",SUMPRODUCT(E46:R46,$C$4:$P$4))</f>
        <v/>
      </c>
      <c r="U46" s="29" t="str">
        <f>IF(SUM(E46:R46)=0,"",#REF!+T46/(SUMIF(E46:R46,"&lt;&gt;",$C$4:$P$4)-SUMIF(E46:R46,"=E",$C$4:$P$4)))</f>
        <v/>
      </c>
      <c r="V46" s="30" t="str">
        <f>IF(U46="","",INDEX(Results!$W$6:$W$18,MATCH(U46,Results!$V$6:$V$18,1)))</f>
        <v/>
      </c>
    </row>
    <row r="47" spans="1:24" x14ac:dyDescent="0.2">
      <c r="A47" s="2"/>
      <c r="B47" s="31"/>
      <c r="C47" s="86"/>
      <c r="D47" s="86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27"/>
      <c r="T47" s="33" t="s">
        <v>155</v>
      </c>
      <c r="U47" s="34" t="e">
        <f>AVERAGE(U6:U46)</f>
        <v>#DIV/0!</v>
      </c>
      <c r="V47" s="35" t="e">
        <f>IF(U47="","",INDEX(Results!$W$6:$W$18,MATCH(U47,Results!$V$6:$V$18,1)))</f>
        <v>#DIV/0!</v>
      </c>
      <c r="X47" s="36"/>
    </row>
    <row r="48" spans="1:24" x14ac:dyDescent="0.2">
      <c r="A48" s="2"/>
      <c r="B48" s="37"/>
      <c r="C48" s="86"/>
      <c r="D48" s="86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27"/>
      <c r="T48" s="90"/>
      <c r="U48" s="91"/>
      <c r="V48" s="92"/>
    </row>
    <row r="49" spans="19:19" x14ac:dyDescent="0.2">
      <c r="S49" s="27"/>
    </row>
  </sheetData>
  <mergeCells count="3">
    <mergeCell ref="T3:T4"/>
    <mergeCell ref="U3:U4"/>
    <mergeCell ref="V3:V4"/>
  </mergeCells>
  <hyperlinks>
    <hyperlink ref="D6" r:id="rId1"/>
    <hyperlink ref="D7:D39" r:id="rId2" display="aymyratayydow@gmail.com"/>
  </hyperlink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 r:id="rId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Z49"/>
  <sheetViews>
    <sheetView workbookViewId="0">
      <selection activeCell="V26" sqref="V26"/>
    </sheetView>
  </sheetViews>
  <sheetFormatPr defaultRowHeight="12.75" x14ac:dyDescent="0.2"/>
  <cols>
    <col min="1" max="1" width="3.7109375" style="1" customWidth="1"/>
    <col min="2" max="2" width="37.42578125" style="1" bestFit="1" customWidth="1"/>
    <col min="3" max="3" width="9" style="1" bestFit="1" customWidth="1"/>
    <col min="4" max="16" width="9" style="1" customWidth="1"/>
    <col min="17" max="18" width="7.140625" style="1" customWidth="1"/>
    <col min="19" max="19" width="7.85546875" style="1" bestFit="1" customWidth="1"/>
    <col min="20" max="26" width="7.140625" style="1" customWidth="1"/>
    <col min="27" max="27" width="4.42578125" style="1" customWidth="1"/>
    <col min="28" max="28" width="7.5703125" style="1" customWidth="1"/>
    <col min="29" max="29" width="10.5703125" style="1" bestFit="1" customWidth="1"/>
    <col min="30" max="30" width="6.85546875" style="1" customWidth="1"/>
    <col min="31" max="31" width="5.28515625" style="1" customWidth="1"/>
    <col min="32" max="32" width="16.7109375" style="1" customWidth="1"/>
    <col min="33" max="16384" width="9.140625" style="1"/>
  </cols>
  <sheetData>
    <row r="1" spans="1:30" ht="19.5" x14ac:dyDescent="0.3">
      <c r="A1" s="2"/>
      <c r="B1" s="3" t="s">
        <v>153</v>
      </c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87"/>
      <c r="V1" s="87"/>
      <c r="W1" s="4"/>
      <c r="X1" s="4"/>
      <c r="Y1" s="4"/>
      <c r="Z1" s="4"/>
      <c r="AA1" s="4"/>
      <c r="AB1" s="4"/>
      <c r="AC1" s="6"/>
      <c r="AD1" s="6"/>
    </row>
    <row r="2" spans="1:30" ht="15" x14ac:dyDescent="0.25">
      <c r="A2" s="2"/>
      <c r="B2" s="7" t="s">
        <v>159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10"/>
    </row>
    <row r="3" spans="1:30" ht="44.25" customHeight="1" x14ac:dyDescent="0.25">
      <c r="A3" s="11"/>
      <c r="B3" s="12" t="s">
        <v>148</v>
      </c>
      <c r="C3" s="13" t="s">
        <v>124</v>
      </c>
      <c r="D3" s="13" t="s">
        <v>125</v>
      </c>
      <c r="E3" s="13" t="s">
        <v>126</v>
      </c>
      <c r="F3" s="13" t="s">
        <v>127</v>
      </c>
      <c r="G3" s="13" t="s">
        <v>128</v>
      </c>
      <c r="H3" s="13" t="s">
        <v>129</v>
      </c>
      <c r="I3" s="13" t="s">
        <v>130</v>
      </c>
      <c r="J3" s="13" t="s">
        <v>131</v>
      </c>
      <c r="K3" s="13" t="s">
        <v>132</v>
      </c>
      <c r="L3" s="13" t="s">
        <v>133</v>
      </c>
      <c r="M3" s="13" t="s">
        <v>134</v>
      </c>
      <c r="N3" s="13" t="s">
        <v>135</v>
      </c>
      <c r="O3" s="13" t="s">
        <v>136</v>
      </c>
      <c r="P3" s="13" t="s">
        <v>137</v>
      </c>
      <c r="Q3" s="13" t="s">
        <v>138</v>
      </c>
      <c r="R3" s="13" t="s">
        <v>139</v>
      </c>
      <c r="S3" s="13" t="s">
        <v>140</v>
      </c>
      <c r="T3" s="13" t="s">
        <v>141</v>
      </c>
      <c r="U3" s="13" t="s">
        <v>142</v>
      </c>
      <c r="V3" s="13" t="s">
        <v>143</v>
      </c>
      <c r="W3" s="13" t="s">
        <v>144</v>
      </c>
      <c r="X3" s="13" t="s">
        <v>145</v>
      </c>
      <c r="Y3" s="13" t="s">
        <v>146</v>
      </c>
      <c r="Z3" s="13" t="s">
        <v>147</v>
      </c>
      <c r="AA3" s="14"/>
      <c r="AB3" s="97" t="s">
        <v>156</v>
      </c>
      <c r="AC3" s="98" t="s">
        <v>157</v>
      </c>
      <c r="AD3" s="99" t="s">
        <v>158</v>
      </c>
    </row>
    <row r="4" spans="1:30" x14ac:dyDescent="0.2">
      <c r="A4" s="11"/>
      <c r="B4" s="15" t="s">
        <v>154</v>
      </c>
      <c r="C4" s="16">
        <v>5</v>
      </c>
      <c r="D4" s="16">
        <v>5</v>
      </c>
      <c r="E4" s="16">
        <v>5</v>
      </c>
      <c r="F4" s="16">
        <v>5</v>
      </c>
      <c r="G4" s="16">
        <v>5</v>
      </c>
      <c r="H4" s="16">
        <v>5</v>
      </c>
      <c r="I4" s="16">
        <v>5</v>
      </c>
      <c r="J4" s="16">
        <v>5</v>
      </c>
      <c r="K4" s="16">
        <v>5</v>
      </c>
      <c r="L4" s="16">
        <v>5</v>
      </c>
      <c r="M4" s="16">
        <v>5</v>
      </c>
      <c r="N4" s="16">
        <v>5</v>
      </c>
      <c r="O4" s="16">
        <v>5</v>
      </c>
      <c r="P4" s="16">
        <v>5</v>
      </c>
      <c r="Q4" s="16">
        <v>5</v>
      </c>
      <c r="R4" s="16">
        <v>5</v>
      </c>
      <c r="S4" s="16">
        <v>5</v>
      </c>
      <c r="T4" s="16">
        <v>5</v>
      </c>
      <c r="U4" s="16">
        <v>5</v>
      </c>
      <c r="V4" s="16">
        <v>5</v>
      </c>
      <c r="W4" s="16">
        <v>5</v>
      </c>
      <c r="X4" s="16">
        <v>5</v>
      </c>
      <c r="Y4" s="16">
        <v>5</v>
      </c>
      <c r="Z4" s="16">
        <v>5</v>
      </c>
      <c r="AA4" s="17"/>
      <c r="AB4" s="97"/>
      <c r="AC4" s="97"/>
      <c r="AD4" s="97"/>
    </row>
    <row r="5" spans="1:30" ht="6" customHeight="1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18">
        <f t="shared" ref="A6:A45" ca="1" si="0">OFFSET(A6,-1,0,1,1)+1</f>
        <v>1</v>
      </c>
      <c r="B6" s="38" t="str">
        <f>IF(Info!B6="Atlar şu ýeri","",Info!B6)</f>
        <v>Abdullaýewa Dinara</v>
      </c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20"/>
      <c r="AB6" s="21" t="str">
        <f t="shared" ref="AB6:AB45" si="1">IF(SUM(C6:Z6)=0,"",SUMPRODUCT(C6:Z6))</f>
        <v/>
      </c>
      <c r="AC6" s="22" t="str">
        <f t="shared" ref="AC6:AC45" si="2">IF(SUM(C6:Z6)=0,"",AB6/(SUMIF(C6:Z6,"&lt;&gt;",$C$4:$Z$4)-SUMIF(C6:Z6,"=E",$C$4:$Z$4)))</f>
        <v/>
      </c>
      <c r="AD6" s="23" t="str">
        <f>IF(AC6="","","   "&amp;INDEX(Results!$W$6:$W$18,MATCH(AC6,Results!$V$6:$V$18,1)))</f>
        <v/>
      </c>
    </row>
    <row r="7" spans="1:30" x14ac:dyDescent="0.2">
      <c r="A7" s="18">
        <f t="shared" ca="1" si="0"/>
        <v>2</v>
      </c>
      <c r="B7" s="38" t="str">
        <f>IF(Info!B7="Atlar şu ýeri","",Info!B7)</f>
        <v>Arslanow Yhlas</v>
      </c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20"/>
      <c r="AB7" s="21" t="str">
        <f t="shared" si="1"/>
        <v/>
      </c>
      <c r="AC7" s="22" t="str">
        <f t="shared" si="2"/>
        <v/>
      </c>
      <c r="AD7" s="23" t="str">
        <f>IF(AC7="","","   "&amp;INDEX(Results!$W$6:$W$18,MATCH(AC7,Results!$V$6:$V$18,1)))</f>
        <v/>
      </c>
    </row>
    <row r="8" spans="1:30" x14ac:dyDescent="0.2">
      <c r="A8" s="18">
        <f t="shared" ca="1" si="0"/>
        <v>3</v>
      </c>
      <c r="B8" s="38" t="str">
        <f>IF(Info!B8="Atlar şu ýeri","",Info!B8)</f>
        <v>Aşyrowa Maýsa</v>
      </c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X8" s="89"/>
      <c r="Y8" s="89"/>
      <c r="Z8" s="89"/>
      <c r="AA8" s="20"/>
      <c r="AB8" s="21" t="str">
        <f t="shared" si="1"/>
        <v/>
      </c>
      <c r="AC8" s="22" t="str">
        <f t="shared" si="2"/>
        <v/>
      </c>
      <c r="AD8" s="23" t="str">
        <f>IF(AC8="","","   "&amp;INDEX(Results!$W$6:$W$18,MATCH(AC8,Results!$V$6:$V$18,1)))</f>
        <v/>
      </c>
    </row>
    <row r="9" spans="1:30" x14ac:dyDescent="0.2">
      <c r="A9" s="18">
        <f t="shared" ca="1" si="0"/>
        <v>4</v>
      </c>
      <c r="B9" s="38" t="str">
        <f>IF(Info!B9="Atlar şu ýeri","",Info!B9)</f>
        <v>Atabaýewa Ogulaý</v>
      </c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20"/>
      <c r="AB9" s="21" t="str">
        <f t="shared" si="1"/>
        <v/>
      </c>
      <c r="AC9" s="22" t="str">
        <f t="shared" si="2"/>
        <v/>
      </c>
      <c r="AD9" s="23" t="str">
        <f>IF(AC9="","","   "&amp;INDEX(Results!$W$6:$W$18,MATCH(AC9,Results!$V$6:$V$18,1)))</f>
        <v/>
      </c>
    </row>
    <row r="10" spans="1:30" x14ac:dyDescent="0.2">
      <c r="A10" s="18">
        <f t="shared" ca="1" si="0"/>
        <v>5</v>
      </c>
      <c r="B10" s="38" t="str">
        <f>IF(Info!B10="Atlar şu ýeri","",Info!B10)</f>
        <v>Atanazarow Meýlis</v>
      </c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20"/>
      <c r="AB10" s="21" t="str">
        <f t="shared" si="1"/>
        <v/>
      </c>
      <c r="AC10" s="22" t="str">
        <f t="shared" si="2"/>
        <v/>
      </c>
      <c r="AD10" s="23" t="str">
        <f>IF(AC10="","","   "&amp;INDEX(Results!$W$6:$W$18,MATCH(AC10,Results!$V$6:$V$18,1)))</f>
        <v/>
      </c>
    </row>
    <row r="11" spans="1:30" x14ac:dyDescent="0.2">
      <c r="A11" s="18">
        <f t="shared" ca="1" si="0"/>
        <v>6</v>
      </c>
      <c r="B11" s="38" t="str">
        <f>IF(Info!B11="Atlar şu ýeri","",Info!B11)</f>
        <v>Babajanowa Aýlar</v>
      </c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20"/>
      <c r="AB11" s="21" t="str">
        <f t="shared" si="1"/>
        <v/>
      </c>
      <c r="AC11" s="22" t="str">
        <f t="shared" si="2"/>
        <v/>
      </c>
      <c r="AD11" s="23" t="str">
        <f>IF(AC11="","","   "&amp;INDEX(Results!$W$6:$W$18,MATCH(AC11,Results!$V$6:$V$18,1)))</f>
        <v/>
      </c>
    </row>
    <row r="12" spans="1:30" x14ac:dyDescent="0.2">
      <c r="A12" s="18">
        <f t="shared" ca="1" si="0"/>
        <v>7</v>
      </c>
      <c r="B12" s="38" t="str">
        <f>IF(Info!B12="Atlar şu ýeri","",Info!B12)</f>
        <v>Babajanowa Selbi</v>
      </c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20"/>
      <c r="AB12" s="21" t="str">
        <f t="shared" si="1"/>
        <v/>
      </c>
      <c r="AC12" s="22" t="str">
        <f t="shared" si="2"/>
        <v/>
      </c>
      <c r="AD12" s="23" t="str">
        <f>IF(AC12="","","   "&amp;INDEX(Results!$W$6:$W$18,MATCH(AC12,Results!$V$6:$V$18,1)))</f>
        <v/>
      </c>
    </row>
    <row r="13" spans="1:30" x14ac:dyDescent="0.2">
      <c r="A13" s="18">
        <f t="shared" ca="1" si="0"/>
        <v>8</v>
      </c>
      <c r="B13" s="38" t="str">
        <f>IF(Info!B13="Atlar şu ýeri","",Info!B13)</f>
        <v>Ataýew Nurgeldi</v>
      </c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20"/>
      <c r="AB13" s="21" t="str">
        <f t="shared" si="1"/>
        <v/>
      </c>
      <c r="AC13" s="22" t="str">
        <f t="shared" si="2"/>
        <v/>
      </c>
      <c r="AD13" s="23" t="str">
        <f>IF(AC13="","","   "&amp;INDEX(Results!$W$6:$W$18,MATCH(AC13,Results!$V$6:$V$18,1)))</f>
        <v/>
      </c>
    </row>
    <row r="14" spans="1:30" x14ac:dyDescent="0.2">
      <c r="A14" s="18">
        <f t="shared" ca="1" si="0"/>
        <v>9</v>
      </c>
      <c r="B14" s="38" t="str">
        <f>IF(Info!B14="Atlar şu ýeri","",Info!B14)</f>
        <v>Batyrow Arafat</v>
      </c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20"/>
      <c r="AB14" s="21" t="str">
        <f t="shared" si="1"/>
        <v/>
      </c>
      <c r="AC14" s="22" t="str">
        <f t="shared" si="2"/>
        <v/>
      </c>
      <c r="AD14" s="23" t="str">
        <f>IF(AC14="","","   "&amp;INDEX(Results!$W$6:$W$18,MATCH(AC14,Results!$V$6:$V$18,1)))</f>
        <v/>
      </c>
    </row>
    <row r="15" spans="1:30" x14ac:dyDescent="0.2">
      <c r="A15" s="18">
        <f t="shared" ca="1" si="0"/>
        <v>10</v>
      </c>
      <c r="B15" s="38" t="str">
        <f>IF(Info!B15="Atlar şu ýeri","",Info!B15)</f>
        <v>Çaryýew Kemal</v>
      </c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20"/>
      <c r="AB15" s="21" t="str">
        <f t="shared" si="1"/>
        <v/>
      </c>
      <c r="AC15" s="22" t="str">
        <f t="shared" si="2"/>
        <v/>
      </c>
      <c r="AD15" s="23" t="str">
        <f>IF(AC15="","","   "&amp;INDEX(Results!$W$6:$W$18,MATCH(AC15,Results!$V$6:$V$18,1)))</f>
        <v/>
      </c>
    </row>
    <row r="16" spans="1:30" x14ac:dyDescent="0.2">
      <c r="A16" s="18">
        <f t="shared" ca="1" si="0"/>
        <v>11</v>
      </c>
      <c r="B16" s="38" t="str">
        <f>IF(Info!B16="Atlar şu ýeri","",Info!B16)</f>
        <v>Gurbanow Mekanmyrat</v>
      </c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20"/>
      <c r="AB16" s="21" t="str">
        <f t="shared" si="1"/>
        <v/>
      </c>
      <c r="AC16" s="22" t="str">
        <f t="shared" si="2"/>
        <v/>
      </c>
      <c r="AD16" s="23" t="str">
        <f>IF(AC16="","","   "&amp;INDEX(Results!$W$6:$W$18,MATCH(AC16,Results!$V$6:$V$18,1)))</f>
        <v/>
      </c>
    </row>
    <row r="17" spans="1:30" x14ac:dyDescent="0.2">
      <c r="A17" s="18">
        <f t="shared" ca="1" si="0"/>
        <v>12</v>
      </c>
      <c r="B17" s="38" t="str">
        <f>IF(Info!B17="Atlar şu ýeri","",Info!B17)</f>
        <v>Hojamuhammedow Guwanç</v>
      </c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20"/>
      <c r="AB17" s="21" t="str">
        <f t="shared" si="1"/>
        <v/>
      </c>
      <c r="AC17" s="22" t="str">
        <f t="shared" si="2"/>
        <v/>
      </c>
      <c r="AD17" s="23" t="str">
        <f>IF(AC17="","","   "&amp;INDEX(Results!$W$6:$W$18,MATCH(AC17,Results!$V$6:$V$18,1)))</f>
        <v/>
      </c>
    </row>
    <row r="18" spans="1:30" x14ac:dyDescent="0.2">
      <c r="A18" s="18">
        <f t="shared" ca="1" si="0"/>
        <v>13</v>
      </c>
      <c r="B18" s="38" t="str">
        <f>IF(Info!B18="Atlar şu ýeri","",Info!B18)</f>
        <v xml:space="preserve">Hojamämmedow  </v>
      </c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20"/>
      <c r="AB18" s="21" t="str">
        <f t="shared" si="1"/>
        <v/>
      </c>
      <c r="AC18" s="22" t="str">
        <f t="shared" si="2"/>
        <v/>
      </c>
      <c r="AD18" s="23" t="str">
        <f>IF(AC18="","","   "&amp;INDEX(Results!$W$6:$W$18,MATCH(AC18,Results!$V$6:$V$18,1)))</f>
        <v/>
      </c>
    </row>
    <row r="19" spans="1:30" x14ac:dyDescent="0.2">
      <c r="A19" s="18">
        <f t="shared" ca="1" si="0"/>
        <v>14</v>
      </c>
      <c r="B19" s="38" t="str">
        <f>IF(Info!B19="Atlar şu ýeri","",Info!B19)</f>
        <v>Hanowa Gülälek</v>
      </c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20"/>
      <c r="AB19" s="21" t="str">
        <f t="shared" si="1"/>
        <v/>
      </c>
      <c r="AC19" s="22" t="str">
        <f t="shared" si="2"/>
        <v/>
      </c>
      <c r="AD19" s="23" t="str">
        <f>IF(AC19="","","   "&amp;INDEX(Results!$W$6:$W$18,MATCH(AC19,Results!$V$6:$V$18,1)))</f>
        <v/>
      </c>
    </row>
    <row r="20" spans="1:30" x14ac:dyDescent="0.2">
      <c r="A20" s="18">
        <f t="shared" ca="1" si="0"/>
        <v>15</v>
      </c>
      <c r="B20" s="38" t="str">
        <f>IF(Info!B20="Atlar şu ýeri","",Info!B20)</f>
        <v>Husainow Serdar</v>
      </c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20"/>
      <c r="AB20" s="21" t="str">
        <f t="shared" si="1"/>
        <v/>
      </c>
      <c r="AC20" s="22" t="str">
        <f t="shared" si="2"/>
        <v/>
      </c>
      <c r="AD20" s="23" t="str">
        <f>IF(AC20="","","   "&amp;INDEX(Results!$W$6:$W$18,MATCH(AC20,Results!$V$6:$V$18,1)))</f>
        <v/>
      </c>
    </row>
    <row r="21" spans="1:30" x14ac:dyDescent="0.2">
      <c r="A21" s="18">
        <f t="shared" ca="1" si="0"/>
        <v>16</v>
      </c>
      <c r="B21" s="38" t="str">
        <f>IF(Info!B21="Atlar şu ýeri","",Info!B21)</f>
        <v>Orunowa Täçbibi</v>
      </c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20"/>
      <c r="AB21" s="21" t="str">
        <f t="shared" si="1"/>
        <v/>
      </c>
      <c r="AC21" s="22" t="str">
        <f t="shared" si="2"/>
        <v/>
      </c>
      <c r="AD21" s="23" t="str">
        <f>IF(AC21="","","   "&amp;INDEX(Results!$W$6:$W$18,MATCH(AC21,Results!$V$6:$V$18,1)))</f>
        <v/>
      </c>
    </row>
    <row r="22" spans="1:30" x14ac:dyDescent="0.2">
      <c r="A22" s="18">
        <f t="shared" ca="1" si="0"/>
        <v>17</v>
      </c>
      <c r="B22" s="38" t="str">
        <f>IF(Info!B22="Atlar şu ýeri","",Info!B22)</f>
        <v>Ilýasow Älem</v>
      </c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20"/>
      <c r="AB22" s="21" t="str">
        <f t="shared" si="1"/>
        <v/>
      </c>
      <c r="AC22" s="22" t="str">
        <f t="shared" si="2"/>
        <v/>
      </c>
      <c r="AD22" s="23" t="str">
        <f>IF(AC22="","","   "&amp;INDEX(Results!$W$6:$W$18,MATCH(AC22,Results!$V$6:$V$18,1)))</f>
        <v/>
      </c>
    </row>
    <row r="23" spans="1:30" x14ac:dyDescent="0.2">
      <c r="A23" s="18">
        <f t="shared" ca="1" si="0"/>
        <v>18</v>
      </c>
      <c r="B23" s="38" t="str">
        <f>IF(Info!B23="Atlar şu ýeri","",Info!B23)</f>
        <v>Karabaýew Begli</v>
      </c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20"/>
      <c r="AB23" s="21" t="str">
        <f t="shared" si="1"/>
        <v/>
      </c>
      <c r="AC23" s="22" t="str">
        <f t="shared" si="2"/>
        <v/>
      </c>
      <c r="AD23" s="23" t="str">
        <f>IF(AC23="","","   "&amp;INDEX(Results!$W$6:$W$18,MATCH(AC23,Results!$V$6:$V$18,1)))</f>
        <v/>
      </c>
    </row>
    <row r="24" spans="1:30" x14ac:dyDescent="0.2">
      <c r="A24" s="18">
        <f t="shared" ca="1" si="0"/>
        <v>19</v>
      </c>
      <c r="B24" s="38" t="str">
        <f>IF(Info!B24="Atlar şu ýeri","",Info!B24)</f>
        <v>Kurbanow Wekil</v>
      </c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20"/>
      <c r="AB24" s="21" t="str">
        <f t="shared" si="1"/>
        <v/>
      </c>
      <c r="AC24" s="22" t="str">
        <f t="shared" si="2"/>
        <v/>
      </c>
      <c r="AD24" s="23" t="str">
        <f>IF(AC24="","","   "&amp;INDEX(Results!$W$6:$W$18,MATCH(AC24,Results!$V$6:$V$18,1)))</f>
        <v/>
      </c>
    </row>
    <row r="25" spans="1:30" x14ac:dyDescent="0.2">
      <c r="A25" s="18">
        <f t="shared" ca="1" si="0"/>
        <v>20</v>
      </c>
      <c r="B25" s="38" t="str">
        <f>IF(Info!B25="Atlar şu ýeri","",Info!B25)</f>
        <v>Madraimow Seidjan</v>
      </c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20"/>
      <c r="AB25" s="21" t="str">
        <f t="shared" si="1"/>
        <v/>
      </c>
      <c r="AC25" s="22" t="str">
        <f t="shared" si="2"/>
        <v/>
      </c>
      <c r="AD25" s="23" t="str">
        <f>IF(AC25="","","   "&amp;INDEX(Results!$W$6:$W$18,MATCH(AC25,Results!$V$6:$V$18,1)))</f>
        <v/>
      </c>
    </row>
    <row r="26" spans="1:30" x14ac:dyDescent="0.2">
      <c r="A26" s="18">
        <f t="shared" ca="1" si="0"/>
        <v>21</v>
      </c>
      <c r="B26" s="38" t="str">
        <f>IF(Info!B26="Atlar şu ýeri","",Info!B26)</f>
        <v>Matmuradowa Gulnur</v>
      </c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20"/>
      <c r="AB26" s="21" t="str">
        <f t="shared" si="1"/>
        <v/>
      </c>
      <c r="AC26" s="22" t="str">
        <f t="shared" si="2"/>
        <v/>
      </c>
      <c r="AD26" s="23" t="str">
        <f>IF(AC26="","","   "&amp;INDEX(Results!$W$6:$W$18,MATCH(AC26,Results!$V$6:$V$18,1)))</f>
        <v/>
      </c>
    </row>
    <row r="27" spans="1:30" x14ac:dyDescent="0.2">
      <c r="A27" s="18">
        <f t="shared" ca="1" si="0"/>
        <v>22</v>
      </c>
      <c r="B27" s="38" t="str">
        <f>IF(Info!B27="Atlar şu ýeri","",Info!B27)</f>
        <v>Myradowa Aýjahan</v>
      </c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20"/>
      <c r="AB27" s="21" t="str">
        <f t="shared" si="1"/>
        <v/>
      </c>
      <c r="AC27" s="22" t="str">
        <f t="shared" si="2"/>
        <v/>
      </c>
      <c r="AD27" s="23" t="str">
        <f>IF(AC27="","","   "&amp;INDEX(Results!$W$6:$W$18,MATCH(AC27,Results!$V$6:$V$18,1)))</f>
        <v/>
      </c>
    </row>
    <row r="28" spans="1:30" x14ac:dyDescent="0.2">
      <c r="A28" s="18">
        <f t="shared" ca="1" si="0"/>
        <v>23</v>
      </c>
      <c r="B28" s="38" t="str">
        <f>IF(Info!B28="Atlar şu ýeri","",Info!B28)</f>
        <v>Osmanowa Ýyldyz</v>
      </c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20"/>
      <c r="AB28" s="21" t="str">
        <f t="shared" si="1"/>
        <v/>
      </c>
      <c r="AC28" s="22" t="str">
        <f t="shared" si="2"/>
        <v/>
      </c>
      <c r="AD28" s="23" t="str">
        <f>IF(AC28="","","   "&amp;INDEX(Results!$W$6:$W$18,MATCH(AC28,Results!$V$6:$V$18,1)))</f>
        <v/>
      </c>
    </row>
    <row r="29" spans="1:30" x14ac:dyDescent="0.2">
      <c r="A29" s="18">
        <f t="shared" ca="1" si="0"/>
        <v>24</v>
      </c>
      <c r="B29" s="38" t="str">
        <f>IF(Info!B29="Atlar şu ýeri","",Info!B29)</f>
        <v>Orazowa Aýnur</v>
      </c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20"/>
      <c r="AB29" s="21" t="str">
        <f t="shared" si="1"/>
        <v/>
      </c>
      <c r="AC29" s="22" t="str">
        <f t="shared" si="2"/>
        <v/>
      </c>
      <c r="AD29" s="23" t="str">
        <f>IF(AC29="","","   "&amp;INDEX(Results!$W$6:$W$18,MATCH(AC29,Results!$V$6:$V$18,1)))</f>
        <v/>
      </c>
    </row>
    <row r="30" spans="1:30" x14ac:dyDescent="0.2">
      <c r="A30" s="18">
        <f t="shared" ca="1" si="0"/>
        <v>25</v>
      </c>
      <c r="B30" s="38" t="str">
        <f>IF(Info!B30="Atlar şu ýeri","",Info!B30)</f>
        <v>Orunowa Aýjemal</v>
      </c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20"/>
      <c r="AB30" s="21" t="str">
        <f t="shared" si="1"/>
        <v/>
      </c>
      <c r="AC30" s="22" t="str">
        <f t="shared" si="2"/>
        <v/>
      </c>
      <c r="AD30" s="23" t="str">
        <f>IF(AC30="","","   "&amp;INDEX(Results!$W$6:$W$18,MATCH(AC30,Results!$V$6:$V$18,1)))</f>
        <v/>
      </c>
    </row>
    <row r="31" spans="1:30" x14ac:dyDescent="0.2">
      <c r="A31" s="18">
        <f t="shared" ca="1" si="0"/>
        <v>26</v>
      </c>
      <c r="B31" s="38" t="str">
        <f>IF(Info!B31="Atlar şu ýeri","",Info!B31)</f>
        <v>Öwezow Döwlet</v>
      </c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20"/>
      <c r="AB31" s="21" t="str">
        <f t="shared" si="1"/>
        <v/>
      </c>
      <c r="AC31" s="22" t="str">
        <f t="shared" si="2"/>
        <v/>
      </c>
      <c r="AD31" s="23" t="str">
        <f>IF(AC31="","","   "&amp;INDEX(Results!$W$6:$W$18,MATCH(AC31,Results!$V$6:$V$18,1)))</f>
        <v/>
      </c>
    </row>
    <row r="32" spans="1:30" x14ac:dyDescent="0.2">
      <c r="A32" s="18">
        <f t="shared" ca="1" si="0"/>
        <v>27</v>
      </c>
      <c r="B32" s="38" t="str">
        <f>IF(Info!B32="Atlar şu ýeri","",Info!B32)</f>
        <v>Piriýew Aýhan</v>
      </c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20"/>
      <c r="AB32" s="21" t="str">
        <f t="shared" si="1"/>
        <v/>
      </c>
      <c r="AC32" s="22" t="str">
        <f t="shared" si="2"/>
        <v/>
      </c>
      <c r="AD32" s="23" t="str">
        <f>IF(AC32="","","   "&amp;INDEX(Results!$W$6:$W$18,MATCH(AC32,Results!$V$6:$V$18,1)))</f>
        <v/>
      </c>
    </row>
    <row r="33" spans="1:104" x14ac:dyDescent="0.2">
      <c r="A33" s="18">
        <f t="shared" ca="1" si="0"/>
        <v>28</v>
      </c>
      <c r="B33" s="38" t="str">
        <f>IF(Info!B33="Atlar şu ýeri","",Info!B33)</f>
        <v>Taganow Sanjar</v>
      </c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20"/>
      <c r="AB33" s="21" t="str">
        <f t="shared" si="1"/>
        <v/>
      </c>
      <c r="AC33" s="22" t="str">
        <f t="shared" si="2"/>
        <v/>
      </c>
      <c r="AD33" s="23" t="str">
        <f>IF(AC33="","","   "&amp;INDEX(Results!$W$6:$W$18,MATCH(AC33,Results!$V$6:$V$18,1)))</f>
        <v/>
      </c>
    </row>
    <row r="34" spans="1:104" x14ac:dyDescent="0.2">
      <c r="A34" s="18">
        <f t="shared" ca="1" si="0"/>
        <v>29</v>
      </c>
      <c r="B34" s="38" t="str">
        <f>IF(Info!B34="Atlar şu ýeri","",Info!B34)</f>
        <v>Weliýew Öwez</v>
      </c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20"/>
      <c r="AB34" s="21" t="str">
        <f t="shared" si="1"/>
        <v/>
      </c>
      <c r="AC34" s="22" t="str">
        <f t="shared" si="2"/>
        <v/>
      </c>
      <c r="AD34" s="23" t="str">
        <f>IF(AC34="","","   "&amp;INDEX(Results!$W$6:$W$18,MATCH(AC34,Results!$V$6:$V$18,1)))</f>
        <v/>
      </c>
    </row>
    <row r="35" spans="1:104" x14ac:dyDescent="0.2">
      <c r="A35" s="18">
        <f t="shared" ca="1" si="0"/>
        <v>30</v>
      </c>
      <c r="B35" s="38" t="str">
        <f>IF(Info!B35="Atlar şu ýeri","",Info!B35)</f>
        <v>Ýagşybaýew Muhammet</v>
      </c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20"/>
      <c r="AB35" s="21" t="str">
        <f t="shared" si="1"/>
        <v/>
      </c>
      <c r="AC35" s="22" t="str">
        <f t="shared" si="2"/>
        <v/>
      </c>
      <c r="AD35" s="23" t="str">
        <f>IF(AC35="","","   "&amp;INDEX(Results!$W$6:$W$18,MATCH(AC35,Results!$V$6:$V$18,1)))</f>
        <v/>
      </c>
    </row>
    <row r="36" spans="1:104" x14ac:dyDescent="0.2">
      <c r="A36" s="18">
        <f t="shared" ca="1" si="0"/>
        <v>31</v>
      </c>
      <c r="B36" s="38" t="str">
        <f>IF(Info!B36="Atlar şu ýeri","",Info!B36)</f>
        <v>Ýazberdiýewa Söýli</v>
      </c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20"/>
      <c r="AB36" s="21" t="str">
        <f t="shared" si="1"/>
        <v/>
      </c>
      <c r="AC36" s="22" t="str">
        <f t="shared" si="2"/>
        <v/>
      </c>
      <c r="AD36" s="23" t="str">
        <f>IF(AC36="","","   "&amp;INDEX(Results!$W$6:$W$18,MATCH(AC36,Results!$V$6:$V$18,1)))</f>
        <v/>
      </c>
    </row>
    <row r="37" spans="1:104" x14ac:dyDescent="0.2">
      <c r="A37" s="18">
        <f t="shared" ca="1" si="0"/>
        <v>32</v>
      </c>
      <c r="B37" s="38" t="str">
        <f>IF(Info!B37="Atlar şu ýeri","",Info!B37)</f>
        <v>Ýazyýewa Meňli</v>
      </c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20"/>
      <c r="AB37" s="21" t="str">
        <f t="shared" si="1"/>
        <v/>
      </c>
      <c r="AC37" s="22" t="str">
        <f t="shared" si="2"/>
        <v/>
      </c>
      <c r="AD37" s="23" t="str">
        <f>IF(AC37="","","   "&amp;INDEX(Results!$W$6:$W$18,MATCH(AC37,Results!$V$6:$V$18,1)))</f>
        <v/>
      </c>
    </row>
    <row r="38" spans="1:104" x14ac:dyDescent="0.2">
      <c r="A38" s="18">
        <f t="shared" ca="1" si="0"/>
        <v>33</v>
      </c>
      <c r="B38" s="38" t="str">
        <f>IF(Info!B38="Atlar şu ýeri","",Info!B38)</f>
        <v>Ýunusow Ýunus</v>
      </c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20"/>
      <c r="AB38" s="21" t="str">
        <f t="shared" si="1"/>
        <v/>
      </c>
      <c r="AC38" s="22" t="str">
        <f t="shared" si="2"/>
        <v/>
      </c>
      <c r="AD38" s="23" t="str">
        <f>IF(AC38="","","   "&amp;INDEX(Results!$W$6:$W$18,MATCH(AC38,Results!$V$6:$V$18,1)))</f>
        <v/>
      </c>
    </row>
    <row r="39" spans="1:104" x14ac:dyDescent="0.2">
      <c r="A39" s="18">
        <f t="shared" ca="1" si="0"/>
        <v>34</v>
      </c>
      <c r="B39" s="38" t="str">
        <f>IF(Info!B39="Atlar şu ýeri","",Info!B39)</f>
        <v>Ýusupowa  Jahan</v>
      </c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20"/>
      <c r="AB39" s="21" t="str">
        <f t="shared" si="1"/>
        <v/>
      </c>
      <c r="AC39" s="22" t="str">
        <f t="shared" si="2"/>
        <v/>
      </c>
      <c r="AD39" s="23" t="str">
        <f>IF(AC39="","","   "&amp;INDEX(Results!$W$6:$W$18,MATCH(AC39,Results!$V$6:$V$18,1)))</f>
        <v/>
      </c>
    </row>
    <row r="40" spans="1:104" x14ac:dyDescent="0.2">
      <c r="A40" s="18">
        <f t="shared" ca="1" si="0"/>
        <v>35</v>
      </c>
      <c r="B40" s="38" t="str">
        <f>IF(Info!B40="Atlar şu ýeri","",Info!B40)</f>
        <v/>
      </c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20"/>
      <c r="AB40" s="21" t="str">
        <f t="shared" si="1"/>
        <v/>
      </c>
      <c r="AC40" s="22" t="str">
        <f t="shared" si="2"/>
        <v/>
      </c>
      <c r="AD40" s="23" t="str">
        <f>IF(AC40="","","   "&amp;INDEX(Results!$W$6:$W$18,MATCH(AC40,Results!$V$6:$V$18,1)))</f>
        <v/>
      </c>
    </row>
    <row r="41" spans="1:104" x14ac:dyDescent="0.2">
      <c r="A41" s="18">
        <f t="shared" ca="1" si="0"/>
        <v>36</v>
      </c>
      <c r="B41" s="38" t="str">
        <f>IF(Info!B41="Atlar şu ýeri","",Info!B41)</f>
        <v/>
      </c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20"/>
      <c r="AB41" s="21" t="str">
        <f t="shared" si="1"/>
        <v/>
      </c>
      <c r="AC41" s="22" t="str">
        <f t="shared" si="2"/>
        <v/>
      </c>
      <c r="AD41" s="23" t="str">
        <f>IF(AC41="","","   "&amp;INDEX(Results!$W$6:$W$18,MATCH(AC41,Results!$V$6:$V$18,1)))</f>
        <v/>
      </c>
    </row>
    <row r="42" spans="1:104" x14ac:dyDescent="0.2">
      <c r="A42" s="18">
        <f t="shared" ca="1" si="0"/>
        <v>37</v>
      </c>
      <c r="B42" s="38" t="str">
        <f>IF(Info!B42="Atlar şu ýeri","",Info!B42)</f>
        <v/>
      </c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20"/>
      <c r="AB42" s="21" t="str">
        <f t="shared" si="1"/>
        <v/>
      </c>
      <c r="AC42" s="22" t="str">
        <f t="shared" si="2"/>
        <v/>
      </c>
      <c r="AD42" s="23" t="str">
        <f>IF(AC42="","","   "&amp;INDEX(Results!$W$6:$W$18,MATCH(AC42,Results!$V$6:$V$18,1)))</f>
        <v/>
      </c>
    </row>
    <row r="43" spans="1:104" x14ac:dyDescent="0.2">
      <c r="A43" s="18">
        <f t="shared" ca="1" si="0"/>
        <v>38</v>
      </c>
      <c r="B43" s="38" t="str">
        <f>IF(Info!B43="Atlar şu ýeri","",Info!B43)</f>
        <v/>
      </c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20"/>
      <c r="AB43" s="21" t="str">
        <f t="shared" si="1"/>
        <v/>
      </c>
      <c r="AC43" s="22" t="str">
        <f t="shared" si="2"/>
        <v/>
      </c>
      <c r="AD43" s="23" t="str">
        <f>IF(AC43="","","   "&amp;INDEX(Results!$W$6:$W$18,MATCH(AC43,Results!$V$6:$V$18,1)))</f>
        <v/>
      </c>
    </row>
    <row r="44" spans="1:104" x14ac:dyDescent="0.2">
      <c r="A44" s="18">
        <f t="shared" ca="1" si="0"/>
        <v>39</v>
      </c>
      <c r="B44" s="38" t="str">
        <f>IF(Info!B44="Atlar şu ýeri","",Info!B44)</f>
        <v/>
      </c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20"/>
      <c r="AB44" s="21" t="str">
        <f t="shared" si="1"/>
        <v/>
      </c>
      <c r="AC44" s="22" t="str">
        <f t="shared" si="2"/>
        <v/>
      </c>
      <c r="AD44" s="23" t="str">
        <f>IF(AC44="","","   "&amp;INDEX(Results!$W$6:$W$18,MATCH(AC44,Results!$V$6:$V$18,1)))</f>
        <v/>
      </c>
    </row>
    <row r="45" spans="1:104" x14ac:dyDescent="0.2">
      <c r="A45" s="18">
        <f t="shared" ca="1" si="0"/>
        <v>40</v>
      </c>
      <c r="B45" s="38" t="str">
        <f>IF(Info!B45="Atlar şu ýeri","",Info!B45)</f>
        <v/>
      </c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20"/>
      <c r="AB45" s="21" t="str">
        <f t="shared" si="1"/>
        <v/>
      </c>
      <c r="AC45" s="22" t="str">
        <f t="shared" si="2"/>
        <v/>
      </c>
      <c r="AD45" s="23" t="str">
        <f>IF(AC45="","","   "&amp;INDEX(Results!$W$6:$W$18,MATCH(AC45,Results!$V$6:$V$18,1)))</f>
        <v/>
      </c>
    </row>
    <row r="46" spans="1:104" x14ac:dyDescent="0.2">
      <c r="A46" s="24"/>
      <c r="B46" s="25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96">
        <v>1</v>
      </c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</row>
    <row r="47" spans="1:104" x14ac:dyDescent="0.2">
      <c r="A47" s="2"/>
      <c r="B47" s="31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AA47" s="27"/>
      <c r="AB47" s="33" t="s">
        <v>155</v>
      </c>
      <c r="AC47" s="34" t="e">
        <f>AVERAGE(AC6:AC46)</f>
        <v>#DIV/0!</v>
      </c>
      <c r="AD47" s="35" t="e">
        <f>IF(AC47="","",INDEX(Results!$W$6:$W$18,MATCH(AC47,Results!$V$6:$V$18,1)))</f>
        <v>#DIV/0!</v>
      </c>
      <c r="AF47" s="36"/>
    </row>
    <row r="48" spans="1:104" x14ac:dyDescent="0.2">
      <c r="A48" s="2"/>
      <c r="B48" s="31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27"/>
      <c r="AB48" s="90"/>
      <c r="AC48" s="91"/>
      <c r="AD48" s="92"/>
      <c r="AF48" s="36"/>
    </row>
    <row r="49" spans="1:30" x14ac:dyDescent="0.2">
      <c r="A49" s="2"/>
      <c r="B49" s="37"/>
      <c r="C49" s="32"/>
      <c r="D49" s="32"/>
      <c r="E49" s="32"/>
      <c r="F49" s="32"/>
      <c r="G49" s="32"/>
      <c r="H49" s="32"/>
      <c r="I49" s="93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27"/>
      <c r="AB49" s="2"/>
      <c r="AC49" s="2"/>
      <c r="AD49" s="2"/>
    </row>
  </sheetData>
  <mergeCells count="4">
    <mergeCell ref="AB3:AB4"/>
    <mergeCell ref="AC3:AC4"/>
    <mergeCell ref="AD3:AD4"/>
    <mergeCell ref="C1:T1"/>
  </mergeCell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30</xdr:col>
                <xdr:colOff>161925</xdr:colOff>
                <xdr:row>2</xdr:row>
                <xdr:rowOff>0</xdr:rowOff>
              </from>
              <to>
                <xdr:col>31</xdr:col>
                <xdr:colOff>962025</xdr:colOff>
                <xdr:row>3</xdr:row>
                <xdr:rowOff>104775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Z49"/>
  <sheetViews>
    <sheetView workbookViewId="0">
      <selection activeCell="E20" sqref="E20"/>
    </sheetView>
  </sheetViews>
  <sheetFormatPr defaultRowHeight="12.75" x14ac:dyDescent="0.2"/>
  <cols>
    <col min="1" max="1" width="3.7109375" style="1" customWidth="1"/>
    <col min="2" max="2" width="37.42578125" style="1" bestFit="1" customWidth="1"/>
    <col min="3" max="3" width="9" style="1" bestFit="1" customWidth="1"/>
    <col min="4" max="5" width="7.140625" style="1" customWidth="1"/>
    <col min="6" max="6" width="7.85546875" style="1" bestFit="1" customWidth="1"/>
    <col min="7" max="16" width="7.140625" style="1" customWidth="1"/>
    <col min="17" max="17" width="1.42578125" style="1" customWidth="1"/>
    <col min="18" max="18" width="7.5703125" style="1" customWidth="1"/>
    <col min="19" max="19" width="10.5703125" style="1" bestFit="1" customWidth="1"/>
    <col min="20" max="20" width="6.85546875" style="1" customWidth="1"/>
    <col min="21" max="21" width="5.28515625" style="1" customWidth="1"/>
    <col min="22" max="22" width="16.7109375" style="1" customWidth="1"/>
    <col min="23" max="16384" width="9.140625" style="1"/>
  </cols>
  <sheetData>
    <row r="1" spans="1:30" ht="19.5" x14ac:dyDescent="0.3">
      <c r="A1" s="2"/>
      <c r="B1" s="3" t="s">
        <v>56</v>
      </c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87"/>
      <c r="V1" s="87"/>
      <c r="W1" s="4"/>
      <c r="X1" s="4"/>
      <c r="Y1" s="4"/>
      <c r="Z1" s="4"/>
      <c r="AA1" s="4"/>
      <c r="AB1" s="4"/>
      <c r="AC1" s="6"/>
      <c r="AD1" s="6"/>
    </row>
    <row r="2" spans="1:30" ht="15" x14ac:dyDescent="0.25">
      <c r="A2" s="2"/>
      <c r="B2" s="7" t="s">
        <v>1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10"/>
    </row>
    <row r="3" spans="1:30" ht="42" customHeight="1" x14ac:dyDescent="0.25">
      <c r="A3" s="11"/>
      <c r="B3" s="12" t="s">
        <v>14</v>
      </c>
      <c r="C3" s="13" t="s">
        <v>15</v>
      </c>
      <c r="D3" s="13" t="s">
        <v>16</v>
      </c>
      <c r="E3" s="13" t="s">
        <v>17</v>
      </c>
      <c r="F3" s="13" t="s">
        <v>18</v>
      </c>
      <c r="G3" s="13" t="s">
        <v>19</v>
      </c>
      <c r="H3" s="13" t="s">
        <v>20</v>
      </c>
      <c r="I3" s="13" t="s">
        <v>21</v>
      </c>
      <c r="J3" s="13" t="s">
        <v>22</v>
      </c>
      <c r="K3" s="13" t="s">
        <v>23</v>
      </c>
      <c r="L3" s="13" t="s">
        <v>24</v>
      </c>
      <c r="M3" s="13" t="s">
        <v>25</v>
      </c>
      <c r="N3" s="13" t="s">
        <v>26</v>
      </c>
      <c r="O3" s="13" t="s">
        <v>27</v>
      </c>
      <c r="P3" s="13" t="s">
        <v>28</v>
      </c>
      <c r="Q3" s="13" t="s">
        <v>46</v>
      </c>
      <c r="R3" s="13" t="s">
        <v>47</v>
      </c>
      <c r="S3" s="13" t="s">
        <v>48</v>
      </c>
      <c r="T3" s="13" t="s">
        <v>49</v>
      </c>
      <c r="U3" s="13" t="s">
        <v>50</v>
      </c>
      <c r="V3" s="13" t="s">
        <v>51</v>
      </c>
      <c r="W3" s="13" t="s">
        <v>52</v>
      </c>
      <c r="X3" s="13" t="s">
        <v>53</v>
      </c>
      <c r="Y3" s="13" t="s">
        <v>54</v>
      </c>
      <c r="Z3" s="13" t="s">
        <v>55</v>
      </c>
      <c r="AA3" s="14"/>
      <c r="AB3" s="97" t="s">
        <v>29</v>
      </c>
      <c r="AC3" s="98" t="s">
        <v>36</v>
      </c>
      <c r="AD3" s="99" t="s">
        <v>35</v>
      </c>
    </row>
    <row r="4" spans="1:30" x14ac:dyDescent="0.2">
      <c r="A4" s="11"/>
      <c r="B4" s="15" t="s">
        <v>30</v>
      </c>
      <c r="C4" s="16">
        <v>5</v>
      </c>
      <c r="D4" s="16">
        <v>5</v>
      </c>
      <c r="E4" s="16">
        <v>5</v>
      </c>
      <c r="F4" s="16">
        <v>5</v>
      </c>
      <c r="G4" s="16">
        <v>5</v>
      </c>
      <c r="H4" s="16">
        <v>5</v>
      </c>
      <c r="I4" s="16">
        <v>5</v>
      </c>
      <c r="J4" s="16">
        <v>5</v>
      </c>
      <c r="K4" s="16">
        <v>5</v>
      </c>
      <c r="L4" s="16">
        <v>5</v>
      </c>
      <c r="M4" s="16">
        <v>5</v>
      </c>
      <c r="N4" s="16">
        <v>5</v>
      </c>
      <c r="O4" s="16">
        <v>5</v>
      </c>
      <c r="P4" s="16">
        <v>5</v>
      </c>
      <c r="Q4" s="16">
        <v>5</v>
      </c>
      <c r="R4" s="16">
        <v>5</v>
      </c>
      <c r="S4" s="16">
        <v>5</v>
      </c>
      <c r="T4" s="16">
        <v>5</v>
      </c>
      <c r="U4" s="16">
        <v>5</v>
      </c>
      <c r="V4" s="16">
        <v>5</v>
      </c>
      <c r="W4" s="16">
        <v>5</v>
      </c>
      <c r="X4" s="16">
        <v>5</v>
      </c>
      <c r="Y4" s="16">
        <v>5</v>
      </c>
      <c r="Z4" s="16">
        <v>5</v>
      </c>
      <c r="AA4" s="17"/>
      <c r="AB4" s="97"/>
      <c r="AC4" s="97"/>
      <c r="AD4" s="97"/>
    </row>
    <row r="5" spans="1:30" ht="6" customHeight="1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18">
        <f t="shared" ref="A6:A45" ca="1" si="0">OFFSET(A6,-1,0,1,1)+1</f>
        <v>1</v>
      </c>
      <c r="B6" s="38" t="str">
        <f>IF(Info!B6="Atlar şu ýeri","",Info!B6)</f>
        <v>Abdullaýewa Dinara</v>
      </c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20"/>
      <c r="AB6" s="21" t="str">
        <f t="shared" ref="AB6:AB45" si="1">IF(SUM(C6:Z6)=0,"",SUMPRODUCT(C6:Z6))</f>
        <v/>
      </c>
      <c r="AC6" s="22" t="str">
        <f t="shared" ref="AC6:AC45" si="2">IF(SUM(C6:Z6)=0,"",AB6/(SUMIF(C6:Z6,"&lt;&gt;",$C$4:$Z$4)-SUMIF(C6:Z6,"=E",$C$4:$Z$4)))</f>
        <v/>
      </c>
      <c r="AD6" s="23" t="str">
        <f>IF(AC6="","","   "&amp;INDEX(Results!$W$6:$W$18,MATCH(AC6,Results!$V$6:$V$18,1)))</f>
        <v/>
      </c>
    </row>
    <row r="7" spans="1:30" x14ac:dyDescent="0.2">
      <c r="A7" s="18">
        <f t="shared" ca="1" si="0"/>
        <v>2</v>
      </c>
      <c r="B7" s="38" t="str">
        <f>IF(Info!B7="Atlar şu ýeri","",Info!B7)</f>
        <v>Arslanow Yhlas</v>
      </c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20"/>
      <c r="AB7" s="21" t="str">
        <f t="shared" si="1"/>
        <v/>
      </c>
      <c r="AC7" s="22" t="str">
        <f t="shared" si="2"/>
        <v/>
      </c>
      <c r="AD7" s="23" t="str">
        <f>IF(AC7="","","   "&amp;INDEX(Results!$W$6:$W$18,MATCH(AC7,Results!$V$6:$V$18,1)))</f>
        <v/>
      </c>
    </row>
    <row r="8" spans="1:30" x14ac:dyDescent="0.2">
      <c r="A8" s="18">
        <f t="shared" ca="1" si="0"/>
        <v>3</v>
      </c>
      <c r="B8" s="38" t="str">
        <f>IF(Info!B8="Atlar şu ýeri","",Info!B8)</f>
        <v>Aşyrowa Maýsa</v>
      </c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X8" s="89"/>
      <c r="Y8" s="89"/>
      <c r="Z8" s="89"/>
      <c r="AA8" s="20"/>
      <c r="AB8" s="21" t="str">
        <f t="shared" si="1"/>
        <v/>
      </c>
      <c r="AC8" s="22" t="str">
        <f t="shared" si="2"/>
        <v/>
      </c>
      <c r="AD8" s="23" t="str">
        <f>IF(AC8="","","   "&amp;INDEX(Results!$W$6:$W$18,MATCH(AC8,Results!$V$6:$V$18,1)))</f>
        <v/>
      </c>
    </row>
    <row r="9" spans="1:30" x14ac:dyDescent="0.2">
      <c r="A9" s="18">
        <f t="shared" ca="1" si="0"/>
        <v>4</v>
      </c>
      <c r="B9" s="38" t="str">
        <f>IF(Info!B9="Atlar şu ýeri","",Info!B9)</f>
        <v>Atabaýewa Ogulaý</v>
      </c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20"/>
      <c r="AB9" s="21" t="str">
        <f t="shared" si="1"/>
        <v/>
      </c>
      <c r="AC9" s="22" t="str">
        <f t="shared" si="2"/>
        <v/>
      </c>
      <c r="AD9" s="23" t="str">
        <f>IF(AC9="","","   "&amp;INDEX(Results!$W$6:$W$18,MATCH(AC9,Results!$V$6:$V$18,1)))</f>
        <v/>
      </c>
    </row>
    <row r="10" spans="1:30" x14ac:dyDescent="0.2">
      <c r="A10" s="18">
        <f t="shared" ca="1" si="0"/>
        <v>5</v>
      </c>
      <c r="B10" s="38" t="str">
        <f>IF(Info!B10="Atlar şu ýeri","",Info!B10)</f>
        <v>Atanazarow Meýlis</v>
      </c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20"/>
      <c r="AB10" s="21" t="str">
        <f t="shared" si="1"/>
        <v/>
      </c>
      <c r="AC10" s="22" t="str">
        <f t="shared" si="2"/>
        <v/>
      </c>
      <c r="AD10" s="23" t="str">
        <f>IF(AC10="","","   "&amp;INDEX(Results!$W$6:$W$18,MATCH(AC10,Results!$V$6:$V$18,1)))</f>
        <v/>
      </c>
    </row>
    <row r="11" spans="1:30" x14ac:dyDescent="0.2">
      <c r="A11" s="18">
        <f t="shared" ca="1" si="0"/>
        <v>6</v>
      </c>
      <c r="B11" s="38" t="str">
        <f>IF(Info!B11="Atlar şu ýeri","",Info!B11)</f>
        <v>Babajanowa Aýlar</v>
      </c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20"/>
      <c r="AB11" s="21" t="str">
        <f t="shared" si="1"/>
        <v/>
      </c>
      <c r="AC11" s="22" t="str">
        <f t="shared" si="2"/>
        <v/>
      </c>
      <c r="AD11" s="23" t="str">
        <f>IF(AC11="","","   "&amp;INDEX(Results!$W$6:$W$18,MATCH(AC11,Results!$V$6:$V$18,1)))</f>
        <v/>
      </c>
    </row>
    <row r="12" spans="1:30" x14ac:dyDescent="0.2">
      <c r="A12" s="18">
        <f t="shared" ca="1" si="0"/>
        <v>7</v>
      </c>
      <c r="B12" s="38" t="str">
        <f>IF(Info!B12="Atlar şu ýeri","",Info!B12)</f>
        <v>Babajanowa Selbi</v>
      </c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20"/>
      <c r="AB12" s="21" t="str">
        <f t="shared" si="1"/>
        <v/>
      </c>
      <c r="AC12" s="22" t="str">
        <f t="shared" si="2"/>
        <v/>
      </c>
      <c r="AD12" s="23" t="str">
        <f>IF(AC12="","","   "&amp;INDEX(Results!$W$6:$W$18,MATCH(AC12,Results!$V$6:$V$18,1)))</f>
        <v/>
      </c>
    </row>
    <row r="13" spans="1:30" x14ac:dyDescent="0.2">
      <c r="A13" s="18">
        <f t="shared" ca="1" si="0"/>
        <v>8</v>
      </c>
      <c r="B13" s="38" t="str">
        <f>IF(Info!B13="Atlar şu ýeri","",Info!B13)</f>
        <v>Ataýew Nurgeldi</v>
      </c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20"/>
      <c r="AB13" s="21" t="str">
        <f t="shared" si="1"/>
        <v/>
      </c>
      <c r="AC13" s="22" t="str">
        <f t="shared" si="2"/>
        <v/>
      </c>
      <c r="AD13" s="23" t="str">
        <f>IF(AC13="","","   "&amp;INDEX(Results!$W$6:$W$18,MATCH(AC13,Results!$V$6:$V$18,1)))</f>
        <v/>
      </c>
    </row>
    <row r="14" spans="1:30" x14ac:dyDescent="0.2">
      <c r="A14" s="18">
        <f t="shared" ca="1" si="0"/>
        <v>9</v>
      </c>
      <c r="B14" s="38" t="str">
        <f>IF(Info!B14="Atlar şu ýeri","",Info!B14)</f>
        <v>Batyrow Arafat</v>
      </c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20"/>
      <c r="AB14" s="21" t="str">
        <f t="shared" si="1"/>
        <v/>
      </c>
      <c r="AC14" s="22" t="str">
        <f t="shared" si="2"/>
        <v/>
      </c>
      <c r="AD14" s="23" t="str">
        <f>IF(AC14="","","   "&amp;INDEX(Results!$W$6:$W$18,MATCH(AC14,Results!$V$6:$V$18,1)))</f>
        <v/>
      </c>
    </row>
    <row r="15" spans="1:30" x14ac:dyDescent="0.2">
      <c r="A15" s="18">
        <f t="shared" ca="1" si="0"/>
        <v>10</v>
      </c>
      <c r="B15" s="38" t="str">
        <f>IF(Info!B15="Atlar şu ýeri","",Info!B15)</f>
        <v>Çaryýew Kemal</v>
      </c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20"/>
      <c r="AB15" s="21" t="str">
        <f t="shared" si="1"/>
        <v/>
      </c>
      <c r="AC15" s="22" t="str">
        <f t="shared" si="2"/>
        <v/>
      </c>
      <c r="AD15" s="23" t="str">
        <f>IF(AC15="","","   "&amp;INDEX(Results!$W$6:$W$18,MATCH(AC15,Results!$V$6:$V$18,1)))</f>
        <v/>
      </c>
    </row>
    <row r="16" spans="1:30" x14ac:dyDescent="0.2">
      <c r="A16" s="18">
        <f t="shared" ca="1" si="0"/>
        <v>11</v>
      </c>
      <c r="B16" s="38" t="str">
        <f>IF(Info!B16="Atlar şu ýeri","",Info!B16)</f>
        <v>Gurbanow Mekanmyrat</v>
      </c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20"/>
      <c r="AB16" s="21" t="str">
        <f t="shared" si="1"/>
        <v/>
      </c>
      <c r="AC16" s="22" t="str">
        <f t="shared" si="2"/>
        <v/>
      </c>
      <c r="AD16" s="23" t="str">
        <f>IF(AC16="","","   "&amp;INDEX(Results!$W$6:$W$18,MATCH(AC16,Results!$V$6:$V$18,1)))</f>
        <v/>
      </c>
    </row>
    <row r="17" spans="1:30" x14ac:dyDescent="0.2">
      <c r="A17" s="18">
        <f t="shared" ca="1" si="0"/>
        <v>12</v>
      </c>
      <c r="B17" s="38" t="str">
        <f>IF(Info!B17="Atlar şu ýeri","",Info!B17)</f>
        <v>Hojamuhammedow Guwanç</v>
      </c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20"/>
      <c r="AB17" s="21" t="str">
        <f t="shared" si="1"/>
        <v/>
      </c>
      <c r="AC17" s="22" t="str">
        <f t="shared" si="2"/>
        <v/>
      </c>
      <c r="AD17" s="23" t="str">
        <f>IF(AC17="","","   "&amp;INDEX(Results!$W$6:$W$18,MATCH(AC17,Results!$V$6:$V$18,1)))</f>
        <v/>
      </c>
    </row>
    <row r="18" spans="1:30" x14ac:dyDescent="0.2">
      <c r="A18" s="18">
        <f t="shared" ca="1" si="0"/>
        <v>13</v>
      </c>
      <c r="B18" s="38" t="str">
        <f>IF(Info!B18="Atlar şu ýeri","",Info!B18)</f>
        <v xml:space="preserve">Hojamämmedow  </v>
      </c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20"/>
      <c r="AB18" s="21" t="str">
        <f t="shared" si="1"/>
        <v/>
      </c>
      <c r="AC18" s="22" t="str">
        <f t="shared" si="2"/>
        <v/>
      </c>
      <c r="AD18" s="23" t="str">
        <f>IF(AC18="","","   "&amp;INDEX(Results!$W$6:$W$18,MATCH(AC18,Results!$V$6:$V$18,1)))</f>
        <v/>
      </c>
    </row>
    <row r="19" spans="1:30" x14ac:dyDescent="0.2">
      <c r="A19" s="18">
        <f t="shared" ca="1" si="0"/>
        <v>14</v>
      </c>
      <c r="B19" s="38" t="str">
        <f>IF(Info!B19="Atlar şu ýeri","",Info!B19)</f>
        <v>Hanowa Gülälek</v>
      </c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20"/>
      <c r="AB19" s="21" t="str">
        <f t="shared" si="1"/>
        <v/>
      </c>
      <c r="AC19" s="22" t="str">
        <f t="shared" si="2"/>
        <v/>
      </c>
      <c r="AD19" s="23" t="str">
        <f>IF(AC19="","","   "&amp;INDEX(Results!$W$6:$W$18,MATCH(AC19,Results!$V$6:$V$18,1)))</f>
        <v/>
      </c>
    </row>
    <row r="20" spans="1:30" x14ac:dyDescent="0.2">
      <c r="A20" s="18">
        <f t="shared" ca="1" si="0"/>
        <v>15</v>
      </c>
      <c r="B20" s="38" t="str">
        <f>IF(Info!B20="Atlar şu ýeri","",Info!B20)</f>
        <v>Husainow Serdar</v>
      </c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20"/>
      <c r="AB20" s="21" t="str">
        <f t="shared" si="1"/>
        <v/>
      </c>
      <c r="AC20" s="22" t="str">
        <f t="shared" si="2"/>
        <v/>
      </c>
      <c r="AD20" s="23" t="str">
        <f>IF(AC20="","","   "&amp;INDEX(Results!$W$6:$W$18,MATCH(AC20,Results!$V$6:$V$18,1)))</f>
        <v/>
      </c>
    </row>
    <row r="21" spans="1:30" x14ac:dyDescent="0.2">
      <c r="A21" s="18">
        <f t="shared" ca="1" si="0"/>
        <v>16</v>
      </c>
      <c r="B21" s="38" t="str">
        <f>IF(Info!B21="Atlar şu ýeri","",Info!B21)</f>
        <v>Orunowa Täçbibi</v>
      </c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20"/>
      <c r="AB21" s="21" t="str">
        <f t="shared" si="1"/>
        <v/>
      </c>
      <c r="AC21" s="22" t="str">
        <f t="shared" si="2"/>
        <v/>
      </c>
      <c r="AD21" s="23" t="str">
        <f>IF(AC21="","","   "&amp;INDEX(Results!$W$6:$W$18,MATCH(AC21,Results!$V$6:$V$18,1)))</f>
        <v/>
      </c>
    </row>
    <row r="22" spans="1:30" x14ac:dyDescent="0.2">
      <c r="A22" s="18">
        <f t="shared" ca="1" si="0"/>
        <v>17</v>
      </c>
      <c r="B22" s="38" t="str">
        <f>IF(Info!B22="Atlar şu ýeri","",Info!B22)</f>
        <v>Ilýasow Älem</v>
      </c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20"/>
      <c r="AB22" s="21" t="str">
        <f t="shared" si="1"/>
        <v/>
      </c>
      <c r="AC22" s="22" t="str">
        <f t="shared" si="2"/>
        <v/>
      </c>
      <c r="AD22" s="23" t="str">
        <f>IF(AC22="","","   "&amp;INDEX(Results!$W$6:$W$18,MATCH(AC22,Results!$V$6:$V$18,1)))</f>
        <v/>
      </c>
    </row>
    <row r="23" spans="1:30" x14ac:dyDescent="0.2">
      <c r="A23" s="18">
        <f t="shared" ca="1" si="0"/>
        <v>18</v>
      </c>
      <c r="B23" s="38" t="str">
        <f>IF(Info!B23="Atlar şu ýeri","",Info!B23)</f>
        <v>Karabaýew Begli</v>
      </c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20"/>
      <c r="AB23" s="21" t="str">
        <f t="shared" si="1"/>
        <v/>
      </c>
      <c r="AC23" s="22" t="str">
        <f t="shared" si="2"/>
        <v/>
      </c>
      <c r="AD23" s="23" t="str">
        <f>IF(AC23="","","   "&amp;INDEX(Results!$W$6:$W$18,MATCH(AC23,Results!$V$6:$V$18,1)))</f>
        <v/>
      </c>
    </row>
    <row r="24" spans="1:30" x14ac:dyDescent="0.2">
      <c r="A24" s="18">
        <f t="shared" ca="1" si="0"/>
        <v>19</v>
      </c>
      <c r="B24" s="38" t="str">
        <f>IF(Info!B24="Atlar şu ýeri","",Info!B24)</f>
        <v>Kurbanow Wekil</v>
      </c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20"/>
      <c r="AB24" s="21" t="str">
        <f t="shared" si="1"/>
        <v/>
      </c>
      <c r="AC24" s="22" t="str">
        <f t="shared" si="2"/>
        <v/>
      </c>
      <c r="AD24" s="23" t="str">
        <f>IF(AC24="","","   "&amp;INDEX(Results!$W$6:$W$18,MATCH(AC24,Results!$V$6:$V$18,1)))</f>
        <v/>
      </c>
    </row>
    <row r="25" spans="1:30" x14ac:dyDescent="0.2">
      <c r="A25" s="18">
        <f t="shared" ca="1" si="0"/>
        <v>20</v>
      </c>
      <c r="B25" s="38" t="str">
        <f>IF(Info!B25="Atlar şu ýeri","",Info!B25)</f>
        <v>Madraimow Seidjan</v>
      </c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20"/>
      <c r="AB25" s="21" t="str">
        <f t="shared" si="1"/>
        <v/>
      </c>
      <c r="AC25" s="22" t="str">
        <f t="shared" si="2"/>
        <v/>
      </c>
      <c r="AD25" s="23" t="str">
        <f>IF(AC25="","","   "&amp;INDEX(Results!$W$6:$W$18,MATCH(AC25,Results!$V$6:$V$18,1)))</f>
        <v/>
      </c>
    </row>
    <row r="26" spans="1:30" x14ac:dyDescent="0.2">
      <c r="A26" s="18">
        <f t="shared" ca="1" si="0"/>
        <v>21</v>
      </c>
      <c r="B26" s="38" t="str">
        <f>IF(Info!B26="Atlar şu ýeri","",Info!B26)</f>
        <v>Matmuradowa Gulnur</v>
      </c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20"/>
      <c r="AB26" s="21" t="str">
        <f t="shared" si="1"/>
        <v/>
      </c>
      <c r="AC26" s="22" t="str">
        <f t="shared" si="2"/>
        <v/>
      </c>
      <c r="AD26" s="23" t="str">
        <f>IF(AC26="","","   "&amp;INDEX(Results!$W$6:$W$18,MATCH(AC26,Results!$V$6:$V$18,1)))</f>
        <v/>
      </c>
    </row>
    <row r="27" spans="1:30" x14ac:dyDescent="0.2">
      <c r="A27" s="18">
        <f t="shared" ca="1" si="0"/>
        <v>22</v>
      </c>
      <c r="B27" s="38" t="str">
        <f>IF(Info!B27="Atlar şu ýeri","",Info!B27)</f>
        <v>Myradowa Aýjahan</v>
      </c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20"/>
      <c r="AB27" s="21" t="str">
        <f t="shared" si="1"/>
        <v/>
      </c>
      <c r="AC27" s="22" t="str">
        <f t="shared" si="2"/>
        <v/>
      </c>
      <c r="AD27" s="23" t="str">
        <f>IF(AC27="","","   "&amp;INDEX(Results!$W$6:$W$18,MATCH(AC27,Results!$V$6:$V$18,1)))</f>
        <v/>
      </c>
    </row>
    <row r="28" spans="1:30" x14ac:dyDescent="0.2">
      <c r="A28" s="18">
        <f t="shared" ca="1" si="0"/>
        <v>23</v>
      </c>
      <c r="B28" s="38" t="str">
        <f>IF(Info!B28="Atlar şu ýeri","",Info!B28)</f>
        <v>Osmanowa Ýyldyz</v>
      </c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20"/>
      <c r="AB28" s="21" t="str">
        <f t="shared" si="1"/>
        <v/>
      </c>
      <c r="AC28" s="22" t="str">
        <f t="shared" si="2"/>
        <v/>
      </c>
      <c r="AD28" s="23" t="str">
        <f>IF(AC28="","","   "&amp;INDEX(Results!$W$6:$W$18,MATCH(AC28,Results!$V$6:$V$18,1)))</f>
        <v/>
      </c>
    </row>
    <row r="29" spans="1:30" x14ac:dyDescent="0.2">
      <c r="A29" s="18">
        <f t="shared" ca="1" si="0"/>
        <v>24</v>
      </c>
      <c r="B29" s="38" t="str">
        <f>IF(Info!B29="Atlar şu ýeri","",Info!B29)</f>
        <v>Orazowa Aýnur</v>
      </c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20"/>
      <c r="AB29" s="21" t="str">
        <f t="shared" si="1"/>
        <v/>
      </c>
      <c r="AC29" s="22" t="str">
        <f t="shared" si="2"/>
        <v/>
      </c>
      <c r="AD29" s="23" t="str">
        <f>IF(AC29="","","   "&amp;INDEX(Results!$W$6:$W$18,MATCH(AC29,Results!$V$6:$V$18,1)))</f>
        <v/>
      </c>
    </row>
    <row r="30" spans="1:30" x14ac:dyDescent="0.2">
      <c r="A30" s="18">
        <f t="shared" ca="1" si="0"/>
        <v>25</v>
      </c>
      <c r="B30" s="38" t="str">
        <f>IF(Info!B30="Atlar şu ýeri","",Info!B30)</f>
        <v>Orunowa Aýjemal</v>
      </c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20"/>
      <c r="AB30" s="21" t="str">
        <f t="shared" si="1"/>
        <v/>
      </c>
      <c r="AC30" s="22" t="str">
        <f t="shared" si="2"/>
        <v/>
      </c>
      <c r="AD30" s="23" t="str">
        <f>IF(AC30="","","   "&amp;INDEX(Results!$W$6:$W$18,MATCH(AC30,Results!$V$6:$V$18,1)))</f>
        <v/>
      </c>
    </row>
    <row r="31" spans="1:30" x14ac:dyDescent="0.2">
      <c r="A31" s="18">
        <f t="shared" ca="1" si="0"/>
        <v>26</v>
      </c>
      <c r="B31" s="38" t="str">
        <f>IF(Info!B31="Atlar şu ýeri","",Info!B31)</f>
        <v>Öwezow Döwlet</v>
      </c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20"/>
      <c r="AB31" s="21" t="str">
        <f t="shared" si="1"/>
        <v/>
      </c>
      <c r="AC31" s="22" t="str">
        <f t="shared" si="2"/>
        <v/>
      </c>
      <c r="AD31" s="23" t="str">
        <f>IF(AC31="","","   "&amp;INDEX(Results!$W$6:$W$18,MATCH(AC31,Results!$V$6:$V$18,1)))</f>
        <v/>
      </c>
    </row>
    <row r="32" spans="1:30" x14ac:dyDescent="0.2">
      <c r="A32" s="18">
        <f t="shared" ca="1" si="0"/>
        <v>27</v>
      </c>
      <c r="B32" s="38" t="str">
        <f>IF(Info!B32="Atlar şu ýeri","",Info!B32)</f>
        <v>Piriýew Aýhan</v>
      </c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20"/>
      <c r="AB32" s="21" t="str">
        <f t="shared" si="1"/>
        <v/>
      </c>
      <c r="AC32" s="22" t="str">
        <f t="shared" si="2"/>
        <v/>
      </c>
      <c r="AD32" s="23" t="str">
        <f>IF(AC32="","","   "&amp;INDEX(Results!$W$6:$W$18,MATCH(AC32,Results!$V$6:$V$18,1)))</f>
        <v/>
      </c>
    </row>
    <row r="33" spans="1:104" x14ac:dyDescent="0.2">
      <c r="A33" s="18">
        <f t="shared" ca="1" si="0"/>
        <v>28</v>
      </c>
      <c r="B33" s="38" t="str">
        <f>IF(Info!B33="Atlar şu ýeri","",Info!B33)</f>
        <v>Taganow Sanjar</v>
      </c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20"/>
      <c r="AB33" s="21" t="str">
        <f t="shared" si="1"/>
        <v/>
      </c>
      <c r="AC33" s="22" t="str">
        <f t="shared" si="2"/>
        <v/>
      </c>
      <c r="AD33" s="23" t="str">
        <f>IF(AC33="","","   "&amp;INDEX(Results!$W$6:$W$18,MATCH(AC33,Results!$V$6:$V$18,1)))</f>
        <v/>
      </c>
    </row>
    <row r="34" spans="1:104" x14ac:dyDescent="0.2">
      <c r="A34" s="18">
        <f t="shared" ca="1" si="0"/>
        <v>29</v>
      </c>
      <c r="B34" s="38" t="str">
        <f>IF(Info!B34="Atlar şu ýeri","",Info!B34)</f>
        <v>Weliýew Öwez</v>
      </c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20"/>
      <c r="AB34" s="21" t="str">
        <f t="shared" si="1"/>
        <v/>
      </c>
      <c r="AC34" s="22" t="str">
        <f t="shared" si="2"/>
        <v/>
      </c>
      <c r="AD34" s="23" t="str">
        <f>IF(AC34="","","   "&amp;INDEX(Results!$W$6:$W$18,MATCH(AC34,Results!$V$6:$V$18,1)))</f>
        <v/>
      </c>
    </row>
    <row r="35" spans="1:104" x14ac:dyDescent="0.2">
      <c r="A35" s="18">
        <f t="shared" ca="1" si="0"/>
        <v>30</v>
      </c>
      <c r="B35" s="38" t="str">
        <f>IF(Info!B35="Atlar şu ýeri","",Info!B35)</f>
        <v>Ýagşybaýew Muhammet</v>
      </c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20"/>
      <c r="AB35" s="21" t="str">
        <f t="shared" si="1"/>
        <v/>
      </c>
      <c r="AC35" s="22" t="str">
        <f t="shared" si="2"/>
        <v/>
      </c>
      <c r="AD35" s="23" t="str">
        <f>IF(AC35="","","   "&amp;INDEX(Results!$W$6:$W$18,MATCH(AC35,Results!$V$6:$V$18,1)))</f>
        <v/>
      </c>
    </row>
    <row r="36" spans="1:104" x14ac:dyDescent="0.2">
      <c r="A36" s="18">
        <f t="shared" ca="1" si="0"/>
        <v>31</v>
      </c>
      <c r="B36" s="38" t="str">
        <f>IF(Info!B36="Atlar şu ýeri","",Info!B36)</f>
        <v>Ýazberdiýewa Söýli</v>
      </c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20"/>
      <c r="AB36" s="21" t="str">
        <f t="shared" si="1"/>
        <v/>
      </c>
      <c r="AC36" s="22" t="str">
        <f t="shared" si="2"/>
        <v/>
      </c>
      <c r="AD36" s="23" t="str">
        <f>IF(AC36="","","   "&amp;INDEX(Results!$W$6:$W$18,MATCH(AC36,Results!$V$6:$V$18,1)))</f>
        <v/>
      </c>
    </row>
    <row r="37" spans="1:104" x14ac:dyDescent="0.2">
      <c r="A37" s="18">
        <f t="shared" ca="1" si="0"/>
        <v>32</v>
      </c>
      <c r="B37" s="38" t="str">
        <f>IF(Info!B37="Atlar şu ýeri","",Info!B37)</f>
        <v>Ýazyýewa Meňli</v>
      </c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20"/>
      <c r="AB37" s="21" t="str">
        <f t="shared" si="1"/>
        <v/>
      </c>
      <c r="AC37" s="22" t="str">
        <f t="shared" si="2"/>
        <v/>
      </c>
      <c r="AD37" s="23" t="str">
        <f>IF(AC37="","","   "&amp;INDEX(Results!$W$6:$W$18,MATCH(AC37,Results!$V$6:$V$18,1)))</f>
        <v/>
      </c>
    </row>
    <row r="38" spans="1:104" x14ac:dyDescent="0.2">
      <c r="A38" s="18">
        <f t="shared" ca="1" si="0"/>
        <v>33</v>
      </c>
      <c r="B38" s="38" t="str">
        <f>IF(Info!B38="Atlar şu ýeri","",Info!B38)</f>
        <v>Ýunusow Ýunus</v>
      </c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20"/>
      <c r="AB38" s="21" t="str">
        <f t="shared" si="1"/>
        <v/>
      </c>
      <c r="AC38" s="22" t="str">
        <f t="shared" si="2"/>
        <v/>
      </c>
      <c r="AD38" s="23" t="str">
        <f>IF(AC38="","","   "&amp;INDEX(Results!$W$6:$W$18,MATCH(AC38,Results!$V$6:$V$18,1)))</f>
        <v/>
      </c>
    </row>
    <row r="39" spans="1:104" x14ac:dyDescent="0.2">
      <c r="A39" s="18">
        <f t="shared" ca="1" si="0"/>
        <v>34</v>
      </c>
      <c r="B39" s="38" t="str">
        <f>IF(Info!B39="Atlar şu ýeri","",Info!B39)</f>
        <v>Ýusupowa  Jahan</v>
      </c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20"/>
      <c r="AB39" s="21" t="str">
        <f t="shared" si="1"/>
        <v/>
      </c>
      <c r="AC39" s="22" t="str">
        <f t="shared" si="2"/>
        <v/>
      </c>
      <c r="AD39" s="23" t="str">
        <f>IF(AC39="","","   "&amp;INDEX(Results!$W$6:$W$18,MATCH(AC39,Results!$V$6:$V$18,1)))</f>
        <v/>
      </c>
    </row>
    <row r="40" spans="1:104" x14ac:dyDescent="0.2">
      <c r="A40" s="18">
        <f t="shared" ca="1" si="0"/>
        <v>35</v>
      </c>
      <c r="B40" s="38" t="str">
        <f>IF(Info!B40="Atlar şu ýeri","",Info!B40)</f>
        <v/>
      </c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20"/>
      <c r="AB40" s="21" t="str">
        <f t="shared" si="1"/>
        <v/>
      </c>
      <c r="AC40" s="22" t="str">
        <f t="shared" si="2"/>
        <v/>
      </c>
      <c r="AD40" s="23" t="str">
        <f>IF(AC40="","","   "&amp;INDEX(Results!$W$6:$W$18,MATCH(AC40,Results!$V$6:$V$18,1)))</f>
        <v/>
      </c>
    </row>
    <row r="41" spans="1:104" x14ac:dyDescent="0.2">
      <c r="A41" s="18">
        <f t="shared" ca="1" si="0"/>
        <v>36</v>
      </c>
      <c r="B41" s="38" t="str">
        <f>IF(Info!B41="Atlar şu ýeri","",Info!B41)</f>
        <v/>
      </c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20"/>
      <c r="AB41" s="21" t="str">
        <f t="shared" si="1"/>
        <v/>
      </c>
      <c r="AC41" s="22" t="str">
        <f t="shared" si="2"/>
        <v/>
      </c>
      <c r="AD41" s="23" t="str">
        <f>IF(AC41="","","   "&amp;INDEX(Results!$W$6:$W$18,MATCH(AC41,Results!$V$6:$V$18,1)))</f>
        <v/>
      </c>
    </row>
    <row r="42" spans="1:104" x14ac:dyDescent="0.2">
      <c r="A42" s="18">
        <f t="shared" ca="1" si="0"/>
        <v>37</v>
      </c>
      <c r="B42" s="38" t="str">
        <f>IF(Info!B42="Atlar şu ýeri","",Info!B42)</f>
        <v/>
      </c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20"/>
      <c r="AB42" s="21" t="str">
        <f t="shared" si="1"/>
        <v/>
      </c>
      <c r="AC42" s="22" t="str">
        <f t="shared" si="2"/>
        <v/>
      </c>
      <c r="AD42" s="23" t="str">
        <f>IF(AC42="","","   "&amp;INDEX(Results!$W$6:$W$18,MATCH(AC42,Results!$V$6:$V$18,1)))</f>
        <v/>
      </c>
    </row>
    <row r="43" spans="1:104" x14ac:dyDescent="0.2">
      <c r="A43" s="18">
        <f t="shared" ca="1" si="0"/>
        <v>38</v>
      </c>
      <c r="B43" s="38" t="str">
        <f>IF(Info!B43="Atlar şu ýeri","",Info!B43)</f>
        <v/>
      </c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20"/>
      <c r="AB43" s="21" t="str">
        <f t="shared" si="1"/>
        <v/>
      </c>
      <c r="AC43" s="22" t="str">
        <f t="shared" si="2"/>
        <v/>
      </c>
      <c r="AD43" s="23" t="str">
        <f>IF(AC43="","","   "&amp;INDEX(Results!$W$6:$W$18,MATCH(AC43,Results!$V$6:$V$18,1)))</f>
        <v/>
      </c>
    </row>
    <row r="44" spans="1:104" x14ac:dyDescent="0.2">
      <c r="A44" s="18">
        <f t="shared" ca="1" si="0"/>
        <v>39</v>
      </c>
      <c r="B44" s="38" t="str">
        <f>IF(Info!B44="Atlar şu ýeri","",Info!B44)</f>
        <v/>
      </c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20"/>
      <c r="AB44" s="21" t="str">
        <f t="shared" si="1"/>
        <v/>
      </c>
      <c r="AC44" s="22" t="str">
        <f t="shared" si="2"/>
        <v/>
      </c>
      <c r="AD44" s="23" t="str">
        <f>IF(AC44="","","   "&amp;INDEX(Results!$W$6:$W$18,MATCH(AC44,Results!$V$6:$V$18,1)))</f>
        <v/>
      </c>
    </row>
    <row r="45" spans="1:104" x14ac:dyDescent="0.2">
      <c r="A45" s="18">
        <f t="shared" ca="1" si="0"/>
        <v>40</v>
      </c>
      <c r="B45" s="38" t="str">
        <f>IF(Info!B45="Atlar şu ýeri","",Info!B45)</f>
        <v/>
      </c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20"/>
      <c r="AB45" s="21" t="str">
        <f t="shared" si="1"/>
        <v/>
      </c>
      <c r="AC45" s="22" t="str">
        <f t="shared" si="2"/>
        <v/>
      </c>
      <c r="AD45" s="23" t="str">
        <f>IF(AC45="","","   "&amp;INDEX(Results!$W$6:$W$18,MATCH(AC45,Results!$V$6:$V$18,1)))</f>
        <v/>
      </c>
    </row>
    <row r="46" spans="1:104" x14ac:dyDescent="0.2">
      <c r="A46" s="24"/>
      <c r="B46" s="25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96">
        <v>1</v>
      </c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</row>
    <row r="47" spans="1:104" x14ac:dyDescent="0.2">
      <c r="A47" s="2"/>
      <c r="B47" s="31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AA47" s="27"/>
      <c r="AB47" s="33" t="s">
        <v>45</v>
      </c>
      <c r="AC47" s="34" t="e">
        <f>AVERAGE(AC6:AC46)</f>
        <v>#DIV/0!</v>
      </c>
      <c r="AD47" s="35" t="e">
        <f>IF(AC47="","",INDEX(Results!$W$6:$W$18,MATCH(AC47,Results!$V$6:$V$18,1)))</f>
        <v>#DIV/0!</v>
      </c>
      <c r="AF47" s="36"/>
    </row>
    <row r="48" spans="1:104" x14ac:dyDescent="0.2">
      <c r="A48" s="2"/>
      <c r="B48" s="31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27"/>
      <c r="AB48" s="90"/>
      <c r="AC48" s="91"/>
      <c r="AD48" s="92"/>
      <c r="AF48" s="36"/>
    </row>
    <row r="49" spans="1:30" x14ac:dyDescent="0.2">
      <c r="A49" s="2"/>
      <c r="B49" s="37"/>
      <c r="C49" s="32"/>
      <c r="D49" s="32"/>
      <c r="E49" s="32"/>
      <c r="F49" s="32"/>
      <c r="G49" s="32"/>
      <c r="H49" s="32"/>
      <c r="I49" s="93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27"/>
      <c r="AB49" s="2"/>
      <c r="AC49" s="2"/>
      <c r="AD49" s="2"/>
    </row>
  </sheetData>
  <mergeCells count="4">
    <mergeCell ref="AB3:AB4"/>
    <mergeCell ref="AC3:AC4"/>
    <mergeCell ref="AD3:AD4"/>
    <mergeCell ref="C1:T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49"/>
  <sheetViews>
    <sheetView workbookViewId="0">
      <selection activeCell="V26" sqref="V26"/>
    </sheetView>
  </sheetViews>
  <sheetFormatPr defaultRowHeight="12.75" x14ac:dyDescent="0.2"/>
  <cols>
    <col min="1" max="1" width="3.7109375" style="1" customWidth="1"/>
    <col min="2" max="2" width="37.42578125" style="1" bestFit="1" customWidth="1"/>
    <col min="3" max="3" width="9" style="1" bestFit="1" customWidth="1"/>
    <col min="4" max="16" width="9" style="1" customWidth="1"/>
    <col min="17" max="18" width="7.140625" style="1" customWidth="1"/>
    <col min="19" max="19" width="7.85546875" style="1" bestFit="1" customWidth="1"/>
    <col min="20" max="26" width="7.140625" style="1" customWidth="1"/>
    <col min="27" max="27" width="1.42578125" style="1" customWidth="1"/>
    <col min="28" max="28" width="7.5703125" style="1" customWidth="1"/>
    <col min="29" max="29" width="10.5703125" style="1" bestFit="1" customWidth="1"/>
    <col min="30" max="30" width="6.85546875" style="1" customWidth="1"/>
    <col min="31" max="31" width="5.28515625" style="1" customWidth="1"/>
    <col min="32" max="32" width="16.7109375" style="1" customWidth="1"/>
    <col min="33" max="16384" width="9.140625" style="1"/>
  </cols>
  <sheetData>
    <row r="1" spans="1:30" ht="19.5" x14ac:dyDescent="0.3">
      <c r="A1" s="2"/>
      <c r="B1" s="3" t="s">
        <v>153</v>
      </c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87"/>
      <c r="V1" s="87"/>
      <c r="W1" s="4"/>
      <c r="X1" s="4"/>
      <c r="Y1" s="4"/>
      <c r="Z1" s="4"/>
      <c r="AA1" s="4"/>
      <c r="AB1" s="4"/>
      <c r="AC1" s="6"/>
      <c r="AD1" s="6"/>
    </row>
    <row r="2" spans="1:30" ht="15" x14ac:dyDescent="0.25">
      <c r="A2" s="2"/>
      <c r="B2" s="7" t="s">
        <v>161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10"/>
    </row>
    <row r="3" spans="1:30" ht="42" customHeight="1" x14ac:dyDescent="0.25">
      <c r="A3" s="11"/>
      <c r="B3" s="12" t="s">
        <v>148</v>
      </c>
      <c r="C3" s="13" t="s">
        <v>124</v>
      </c>
      <c r="D3" s="13" t="s">
        <v>125</v>
      </c>
      <c r="E3" s="13" t="s">
        <v>126</v>
      </c>
      <c r="F3" s="13" t="s">
        <v>127</v>
      </c>
      <c r="G3" s="13" t="s">
        <v>128</v>
      </c>
      <c r="H3" s="13" t="s">
        <v>129</v>
      </c>
      <c r="I3" s="13" t="s">
        <v>130</v>
      </c>
      <c r="J3" s="13" t="s">
        <v>131</v>
      </c>
      <c r="K3" s="13" t="s">
        <v>132</v>
      </c>
      <c r="L3" s="13" t="s">
        <v>133</v>
      </c>
      <c r="M3" s="13" t="s">
        <v>134</v>
      </c>
      <c r="N3" s="13" t="s">
        <v>135</v>
      </c>
      <c r="O3" s="13" t="s">
        <v>136</v>
      </c>
      <c r="P3" s="13" t="s">
        <v>137</v>
      </c>
      <c r="Q3" s="13" t="s">
        <v>138</v>
      </c>
      <c r="R3" s="13" t="s">
        <v>139</v>
      </c>
      <c r="S3" s="13" t="s">
        <v>140</v>
      </c>
      <c r="T3" s="13" t="s">
        <v>141</v>
      </c>
      <c r="U3" s="13" t="s">
        <v>142</v>
      </c>
      <c r="V3" s="13" t="s">
        <v>143</v>
      </c>
      <c r="W3" s="13" t="s">
        <v>144</v>
      </c>
      <c r="X3" s="13" t="s">
        <v>145</v>
      </c>
      <c r="Y3" s="13" t="s">
        <v>146</v>
      </c>
      <c r="Z3" s="13" t="s">
        <v>147</v>
      </c>
      <c r="AA3" s="14"/>
      <c r="AB3" s="97" t="s">
        <v>156</v>
      </c>
      <c r="AC3" s="98" t="s">
        <v>157</v>
      </c>
      <c r="AD3" s="99" t="s">
        <v>158</v>
      </c>
    </row>
    <row r="4" spans="1:30" x14ac:dyDescent="0.2">
      <c r="A4" s="11"/>
      <c r="B4" s="15" t="s">
        <v>154</v>
      </c>
      <c r="C4" s="16">
        <v>5</v>
      </c>
      <c r="D4" s="16">
        <v>5</v>
      </c>
      <c r="E4" s="16">
        <v>5</v>
      </c>
      <c r="F4" s="16">
        <v>5</v>
      </c>
      <c r="G4" s="16">
        <v>5</v>
      </c>
      <c r="H4" s="16">
        <v>5</v>
      </c>
      <c r="I4" s="16">
        <v>5</v>
      </c>
      <c r="J4" s="16">
        <v>5</v>
      </c>
      <c r="K4" s="16">
        <v>5</v>
      </c>
      <c r="L4" s="16">
        <v>5</v>
      </c>
      <c r="M4" s="16">
        <v>5</v>
      </c>
      <c r="N4" s="16">
        <v>5</v>
      </c>
      <c r="O4" s="16">
        <v>5</v>
      </c>
      <c r="P4" s="16">
        <v>5</v>
      </c>
      <c r="Q4" s="16">
        <v>5</v>
      </c>
      <c r="R4" s="16">
        <v>5</v>
      </c>
      <c r="S4" s="16">
        <v>5</v>
      </c>
      <c r="T4" s="16">
        <v>5</v>
      </c>
      <c r="U4" s="16">
        <v>5</v>
      </c>
      <c r="V4" s="16">
        <v>5</v>
      </c>
      <c r="W4" s="16">
        <v>5</v>
      </c>
      <c r="X4" s="16">
        <v>5</v>
      </c>
      <c r="Y4" s="16">
        <v>5</v>
      </c>
      <c r="Z4" s="16">
        <v>5</v>
      </c>
      <c r="AA4" s="17"/>
      <c r="AB4" s="97"/>
      <c r="AC4" s="97"/>
      <c r="AD4" s="97"/>
    </row>
    <row r="5" spans="1:30" ht="6" customHeight="1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18">
        <f t="shared" ref="A6:A45" ca="1" si="0">OFFSET(A6,-1,0,1,1)+1</f>
        <v>1</v>
      </c>
      <c r="B6" s="38" t="str">
        <f>IF(Info!B6="Atlar şu ýeri","",Info!B6)</f>
        <v>Abdullaýewa Dinara</v>
      </c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20"/>
      <c r="AB6" s="21" t="str">
        <f>IF(SUM(C6:Z6)=0,"",SUMPRODUCT(C6:Z6))</f>
        <v/>
      </c>
      <c r="AC6" s="22" t="str">
        <f>IF(SUM(C6:Z6)=0,"",AB6/(SUMIF(C6:Z6,"&lt;&gt;",$C$4:$Z$4)-SUMIF(C6:Z6,"=E",$C$4:$Z$4)))</f>
        <v/>
      </c>
      <c r="AD6" s="23" t="str">
        <f>IF(AC6="","","   "&amp;INDEX(Results!$W$6:$W$18,MATCH(AC6,Results!$V$6:$V$18,1)))</f>
        <v/>
      </c>
    </row>
    <row r="7" spans="1:30" x14ac:dyDescent="0.2">
      <c r="A7" s="18">
        <f t="shared" ca="1" si="0"/>
        <v>2</v>
      </c>
      <c r="B7" s="38" t="str">
        <f>IF(Info!B7="Atlar şu ýeri","",Info!B7)</f>
        <v>Arslanow Yhlas</v>
      </c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20"/>
      <c r="AB7" s="21" t="str">
        <f t="shared" ref="AB7:AB45" si="1">IF(SUM(C7:Z7)=0,"",SUMPRODUCT(C7:Z7))</f>
        <v/>
      </c>
      <c r="AC7" s="22" t="str">
        <f t="shared" ref="AC7:AC45" si="2">IF(SUM(C7:Z7)=0,"",AB7/(SUMIF(C7:Z7,"&lt;&gt;",$C$4:$Z$4)-SUMIF(C7:Z7,"=E",$C$4:$Z$4)))</f>
        <v/>
      </c>
      <c r="AD7" s="23" t="str">
        <f>IF(AC7="","","   "&amp;INDEX(Results!$W$6:$W$18,MATCH(AC7,Results!$V$6:$V$18,1)))</f>
        <v/>
      </c>
    </row>
    <row r="8" spans="1:30" x14ac:dyDescent="0.2">
      <c r="A8" s="18">
        <f t="shared" ca="1" si="0"/>
        <v>3</v>
      </c>
      <c r="B8" s="38" t="str">
        <f>IF(Info!B8="Atlar şu ýeri","",Info!B8)</f>
        <v>Aşyrowa Maýsa</v>
      </c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20"/>
      <c r="AB8" s="21" t="str">
        <f t="shared" si="1"/>
        <v/>
      </c>
      <c r="AC8" s="22" t="str">
        <f t="shared" si="2"/>
        <v/>
      </c>
      <c r="AD8" s="23" t="str">
        <f>IF(AC8="","","   "&amp;INDEX(Results!$W$6:$W$18,MATCH(AC8,Results!$V$6:$V$18,1)))</f>
        <v/>
      </c>
    </row>
    <row r="9" spans="1:30" x14ac:dyDescent="0.2">
      <c r="A9" s="18">
        <f t="shared" ca="1" si="0"/>
        <v>4</v>
      </c>
      <c r="B9" s="38" t="str">
        <f>IF(Info!B9="Atlar şu ýeri","",Info!B9)</f>
        <v>Atabaýewa Ogulaý</v>
      </c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20"/>
      <c r="AB9" s="21" t="str">
        <f t="shared" si="1"/>
        <v/>
      </c>
      <c r="AC9" s="22" t="str">
        <f t="shared" si="2"/>
        <v/>
      </c>
      <c r="AD9" s="23" t="str">
        <f>IF(AC9="","","   "&amp;INDEX(Results!$W$6:$W$18,MATCH(AC9,Results!$V$6:$V$18,1)))</f>
        <v/>
      </c>
    </row>
    <row r="10" spans="1:30" x14ac:dyDescent="0.2">
      <c r="A10" s="18">
        <f t="shared" ca="1" si="0"/>
        <v>5</v>
      </c>
      <c r="B10" s="38" t="str">
        <f>IF(Info!B10="Atlar şu ýeri","",Info!B10)</f>
        <v>Atanazarow Meýlis</v>
      </c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20"/>
      <c r="AB10" s="21" t="str">
        <f t="shared" si="1"/>
        <v/>
      </c>
      <c r="AC10" s="22" t="str">
        <f t="shared" si="2"/>
        <v/>
      </c>
      <c r="AD10" s="23" t="str">
        <f>IF(AC10="","","   "&amp;INDEX(Results!$W$6:$W$18,MATCH(AC10,Results!$V$6:$V$18,1)))</f>
        <v/>
      </c>
    </row>
    <row r="11" spans="1:30" x14ac:dyDescent="0.2">
      <c r="A11" s="18">
        <f t="shared" ca="1" si="0"/>
        <v>6</v>
      </c>
      <c r="B11" s="38" t="str">
        <f>IF(Info!B11="Atlar şu ýeri","",Info!B11)</f>
        <v>Babajanowa Aýlar</v>
      </c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20"/>
      <c r="AB11" s="21" t="str">
        <f t="shared" si="1"/>
        <v/>
      </c>
      <c r="AC11" s="22" t="str">
        <f t="shared" si="2"/>
        <v/>
      </c>
      <c r="AD11" s="23" t="str">
        <f>IF(AC11="","","   "&amp;INDEX(Results!$W$6:$W$18,MATCH(AC11,Results!$V$6:$V$18,1)))</f>
        <v/>
      </c>
    </row>
    <row r="12" spans="1:30" x14ac:dyDescent="0.2">
      <c r="A12" s="18">
        <f t="shared" ca="1" si="0"/>
        <v>7</v>
      </c>
      <c r="B12" s="38" t="str">
        <f>IF(Info!B12="Atlar şu ýeri","",Info!B12)</f>
        <v>Babajanowa Selbi</v>
      </c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20"/>
      <c r="AB12" s="21" t="str">
        <f t="shared" si="1"/>
        <v/>
      </c>
      <c r="AC12" s="22" t="str">
        <f t="shared" si="2"/>
        <v/>
      </c>
      <c r="AD12" s="23" t="str">
        <f>IF(AC12="","","   "&amp;INDEX(Results!$W$6:$W$18,MATCH(AC12,Results!$V$6:$V$18,1)))</f>
        <v/>
      </c>
    </row>
    <row r="13" spans="1:30" x14ac:dyDescent="0.2">
      <c r="A13" s="18">
        <f t="shared" ca="1" si="0"/>
        <v>8</v>
      </c>
      <c r="B13" s="38" t="str">
        <f>IF(Info!B13="Atlar şu ýeri","",Info!B13)</f>
        <v>Ataýew Nurgeldi</v>
      </c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20"/>
      <c r="AB13" s="21" t="str">
        <f t="shared" si="1"/>
        <v/>
      </c>
      <c r="AC13" s="22" t="str">
        <f t="shared" si="2"/>
        <v/>
      </c>
      <c r="AD13" s="23" t="str">
        <f>IF(AC13="","","   "&amp;INDEX(Results!$W$6:$W$18,MATCH(AC13,Results!$V$6:$V$18,1)))</f>
        <v/>
      </c>
    </row>
    <row r="14" spans="1:30" x14ac:dyDescent="0.2">
      <c r="A14" s="18">
        <f t="shared" ca="1" si="0"/>
        <v>9</v>
      </c>
      <c r="B14" s="38" t="str">
        <f>IF(Info!B14="Atlar şu ýeri","",Info!B14)</f>
        <v>Batyrow Arafat</v>
      </c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20"/>
      <c r="AB14" s="21" t="str">
        <f t="shared" si="1"/>
        <v/>
      </c>
      <c r="AC14" s="22" t="str">
        <f t="shared" si="2"/>
        <v/>
      </c>
      <c r="AD14" s="23" t="str">
        <f>IF(AC14="","","   "&amp;INDEX(Results!$W$6:$W$18,MATCH(AC14,Results!$V$6:$V$18,1)))</f>
        <v/>
      </c>
    </row>
    <row r="15" spans="1:30" x14ac:dyDescent="0.2">
      <c r="A15" s="18">
        <f t="shared" ca="1" si="0"/>
        <v>10</v>
      </c>
      <c r="B15" s="38" t="str">
        <f>IF(Info!B15="Atlar şu ýeri","",Info!B15)</f>
        <v>Çaryýew Kemal</v>
      </c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20"/>
      <c r="AB15" s="21" t="str">
        <f t="shared" si="1"/>
        <v/>
      </c>
      <c r="AC15" s="22" t="str">
        <f t="shared" si="2"/>
        <v/>
      </c>
      <c r="AD15" s="23" t="str">
        <f>IF(AC15="","","   "&amp;INDEX(Results!$W$6:$W$18,MATCH(AC15,Results!$V$6:$V$18,1)))</f>
        <v/>
      </c>
    </row>
    <row r="16" spans="1:30" x14ac:dyDescent="0.2">
      <c r="A16" s="18">
        <f t="shared" ca="1" si="0"/>
        <v>11</v>
      </c>
      <c r="B16" s="38" t="str">
        <f>IF(Info!B16="Atlar şu ýeri","",Info!B16)</f>
        <v>Gurbanow Mekanmyrat</v>
      </c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20"/>
      <c r="AB16" s="21" t="str">
        <f t="shared" si="1"/>
        <v/>
      </c>
      <c r="AC16" s="22" t="str">
        <f t="shared" si="2"/>
        <v/>
      </c>
      <c r="AD16" s="23" t="str">
        <f>IF(AC16="","","   "&amp;INDEX(Results!$W$6:$W$18,MATCH(AC16,Results!$V$6:$V$18,1)))</f>
        <v/>
      </c>
    </row>
    <row r="17" spans="1:30" x14ac:dyDescent="0.2">
      <c r="A17" s="18">
        <f t="shared" ca="1" si="0"/>
        <v>12</v>
      </c>
      <c r="B17" s="38" t="str">
        <f>IF(Info!B17="Atlar şu ýeri","",Info!B17)</f>
        <v>Hojamuhammedow Guwanç</v>
      </c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20"/>
      <c r="AB17" s="21" t="str">
        <f t="shared" si="1"/>
        <v/>
      </c>
      <c r="AC17" s="22" t="str">
        <f t="shared" si="2"/>
        <v/>
      </c>
      <c r="AD17" s="23" t="str">
        <f>IF(AC17="","","   "&amp;INDEX(Results!$W$6:$W$18,MATCH(AC17,Results!$V$6:$V$18,1)))</f>
        <v/>
      </c>
    </row>
    <row r="18" spans="1:30" x14ac:dyDescent="0.2">
      <c r="A18" s="18">
        <f t="shared" ca="1" si="0"/>
        <v>13</v>
      </c>
      <c r="B18" s="38" t="str">
        <f>IF(Info!B18="Atlar şu ýeri","",Info!B18)</f>
        <v xml:space="preserve">Hojamämmedow  </v>
      </c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20"/>
      <c r="AB18" s="21" t="str">
        <f t="shared" si="1"/>
        <v/>
      </c>
      <c r="AC18" s="22" t="str">
        <f t="shared" si="2"/>
        <v/>
      </c>
      <c r="AD18" s="23" t="str">
        <f>IF(AC18="","","   "&amp;INDEX(Results!$W$6:$W$18,MATCH(AC18,Results!$V$6:$V$18,1)))</f>
        <v/>
      </c>
    </row>
    <row r="19" spans="1:30" x14ac:dyDescent="0.2">
      <c r="A19" s="18">
        <f t="shared" ca="1" si="0"/>
        <v>14</v>
      </c>
      <c r="B19" s="38" t="str">
        <f>IF(Info!B19="Atlar şu ýeri","",Info!B19)</f>
        <v>Hanowa Gülälek</v>
      </c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20"/>
      <c r="AB19" s="21" t="str">
        <f t="shared" si="1"/>
        <v/>
      </c>
      <c r="AC19" s="22" t="str">
        <f t="shared" si="2"/>
        <v/>
      </c>
      <c r="AD19" s="23" t="str">
        <f>IF(AC19="","","   "&amp;INDEX(Results!$W$6:$W$18,MATCH(AC19,Results!$V$6:$V$18,1)))</f>
        <v/>
      </c>
    </row>
    <row r="20" spans="1:30" x14ac:dyDescent="0.2">
      <c r="A20" s="18">
        <f t="shared" ca="1" si="0"/>
        <v>15</v>
      </c>
      <c r="B20" s="38" t="str">
        <f>IF(Info!B20="Atlar şu ýeri","",Info!B20)</f>
        <v>Husainow Serdar</v>
      </c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20"/>
      <c r="AB20" s="21" t="str">
        <f t="shared" si="1"/>
        <v/>
      </c>
      <c r="AC20" s="22" t="str">
        <f t="shared" si="2"/>
        <v/>
      </c>
      <c r="AD20" s="23" t="str">
        <f>IF(AC20="","","   "&amp;INDEX(Results!$W$6:$W$18,MATCH(AC20,Results!$V$6:$V$18,1)))</f>
        <v/>
      </c>
    </row>
    <row r="21" spans="1:30" x14ac:dyDescent="0.2">
      <c r="A21" s="18">
        <f t="shared" ca="1" si="0"/>
        <v>16</v>
      </c>
      <c r="B21" s="38" t="str">
        <f>IF(Info!B21="Atlar şu ýeri","",Info!B21)</f>
        <v>Orunowa Täçbibi</v>
      </c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20"/>
      <c r="AB21" s="21" t="str">
        <f t="shared" si="1"/>
        <v/>
      </c>
      <c r="AC21" s="22" t="str">
        <f t="shared" si="2"/>
        <v/>
      </c>
      <c r="AD21" s="23" t="str">
        <f>IF(AC21="","","   "&amp;INDEX(Results!$W$6:$W$18,MATCH(AC21,Results!$V$6:$V$18,1)))</f>
        <v/>
      </c>
    </row>
    <row r="22" spans="1:30" x14ac:dyDescent="0.2">
      <c r="A22" s="18">
        <f t="shared" ca="1" si="0"/>
        <v>17</v>
      </c>
      <c r="B22" s="38" t="str">
        <f>IF(Info!B22="Atlar şu ýeri","",Info!B22)</f>
        <v>Ilýasow Älem</v>
      </c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20"/>
      <c r="AB22" s="21" t="str">
        <f t="shared" si="1"/>
        <v/>
      </c>
      <c r="AC22" s="22" t="str">
        <f t="shared" si="2"/>
        <v/>
      </c>
      <c r="AD22" s="23" t="str">
        <f>IF(AC22="","","   "&amp;INDEX(Results!$W$6:$W$18,MATCH(AC22,Results!$V$6:$V$18,1)))</f>
        <v/>
      </c>
    </row>
    <row r="23" spans="1:30" x14ac:dyDescent="0.2">
      <c r="A23" s="18">
        <f t="shared" ca="1" si="0"/>
        <v>18</v>
      </c>
      <c r="B23" s="38" t="str">
        <f>IF(Info!B23="Atlar şu ýeri","",Info!B23)</f>
        <v>Karabaýew Begli</v>
      </c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20"/>
      <c r="AB23" s="21" t="str">
        <f t="shared" si="1"/>
        <v/>
      </c>
      <c r="AC23" s="22" t="str">
        <f t="shared" si="2"/>
        <v/>
      </c>
      <c r="AD23" s="23" t="str">
        <f>IF(AC23="","","   "&amp;INDEX(Results!$W$6:$W$18,MATCH(AC23,Results!$V$6:$V$18,1)))</f>
        <v/>
      </c>
    </row>
    <row r="24" spans="1:30" x14ac:dyDescent="0.2">
      <c r="A24" s="18">
        <f t="shared" ca="1" si="0"/>
        <v>19</v>
      </c>
      <c r="B24" s="38" t="str">
        <f>IF(Info!B24="Atlar şu ýeri","",Info!B24)</f>
        <v>Kurbanow Wekil</v>
      </c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20"/>
      <c r="AB24" s="21" t="str">
        <f t="shared" si="1"/>
        <v/>
      </c>
      <c r="AC24" s="22" t="str">
        <f t="shared" si="2"/>
        <v/>
      </c>
      <c r="AD24" s="23" t="str">
        <f>IF(AC24="","","   "&amp;INDEX(Results!$W$6:$W$18,MATCH(AC24,Results!$V$6:$V$18,1)))</f>
        <v/>
      </c>
    </row>
    <row r="25" spans="1:30" x14ac:dyDescent="0.2">
      <c r="A25" s="18">
        <f t="shared" ca="1" si="0"/>
        <v>20</v>
      </c>
      <c r="B25" s="38" t="str">
        <f>IF(Info!B25="Atlar şu ýeri","",Info!B25)</f>
        <v>Madraimow Seidjan</v>
      </c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20"/>
      <c r="AB25" s="21" t="str">
        <f t="shared" si="1"/>
        <v/>
      </c>
      <c r="AC25" s="22" t="str">
        <f t="shared" si="2"/>
        <v/>
      </c>
      <c r="AD25" s="23" t="str">
        <f>IF(AC25="","","   "&amp;INDEX(Results!$W$6:$W$18,MATCH(AC25,Results!$V$6:$V$18,1)))</f>
        <v/>
      </c>
    </row>
    <row r="26" spans="1:30" x14ac:dyDescent="0.2">
      <c r="A26" s="18">
        <f t="shared" ca="1" si="0"/>
        <v>21</v>
      </c>
      <c r="B26" s="38" t="str">
        <f>IF(Info!B26="Atlar şu ýeri","",Info!B26)</f>
        <v>Matmuradowa Gulnur</v>
      </c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20"/>
      <c r="AB26" s="21" t="str">
        <f t="shared" si="1"/>
        <v/>
      </c>
      <c r="AC26" s="22" t="str">
        <f t="shared" si="2"/>
        <v/>
      </c>
      <c r="AD26" s="23" t="str">
        <f>IF(AC26="","","   "&amp;INDEX(Results!$W$6:$W$18,MATCH(AC26,Results!$V$6:$V$18,1)))</f>
        <v/>
      </c>
    </row>
    <row r="27" spans="1:30" x14ac:dyDescent="0.2">
      <c r="A27" s="18">
        <f t="shared" ca="1" si="0"/>
        <v>22</v>
      </c>
      <c r="B27" s="38" t="str">
        <f>IF(Info!B27="Atlar şu ýeri","",Info!B27)</f>
        <v>Myradowa Aýjahan</v>
      </c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20"/>
      <c r="AB27" s="21" t="str">
        <f t="shared" si="1"/>
        <v/>
      </c>
      <c r="AC27" s="22" t="str">
        <f t="shared" si="2"/>
        <v/>
      </c>
      <c r="AD27" s="23" t="str">
        <f>IF(AC27="","","   "&amp;INDEX(Results!$W$6:$W$18,MATCH(AC27,Results!$V$6:$V$18,1)))</f>
        <v/>
      </c>
    </row>
    <row r="28" spans="1:30" x14ac:dyDescent="0.2">
      <c r="A28" s="18">
        <f t="shared" ca="1" si="0"/>
        <v>23</v>
      </c>
      <c r="B28" s="38" t="str">
        <f>IF(Info!B28="Atlar şu ýeri","",Info!B28)</f>
        <v>Osmanowa Ýyldyz</v>
      </c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20"/>
      <c r="AB28" s="21" t="str">
        <f t="shared" si="1"/>
        <v/>
      </c>
      <c r="AC28" s="22" t="str">
        <f t="shared" si="2"/>
        <v/>
      </c>
      <c r="AD28" s="23" t="str">
        <f>IF(AC28="","","   "&amp;INDEX(Results!$W$6:$W$18,MATCH(AC28,Results!$V$6:$V$18,1)))</f>
        <v/>
      </c>
    </row>
    <row r="29" spans="1:30" x14ac:dyDescent="0.2">
      <c r="A29" s="18">
        <f t="shared" ca="1" si="0"/>
        <v>24</v>
      </c>
      <c r="B29" s="38" t="str">
        <f>IF(Info!B29="Atlar şu ýeri","",Info!B29)</f>
        <v>Orazowa Aýnur</v>
      </c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20"/>
      <c r="AB29" s="21" t="str">
        <f t="shared" si="1"/>
        <v/>
      </c>
      <c r="AC29" s="22" t="str">
        <f t="shared" si="2"/>
        <v/>
      </c>
      <c r="AD29" s="23" t="str">
        <f>IF(AC29="","","   "&amp;INDEX(Results!$W$6:$W$18,MATCH(AC29,Results!$V$6:$V$18,1)))</f>
        <v/>
      </c>
    </row>
    <row r="30" spans="1:30" x14ac:dyDescent="0.2">
      <c r="A30" s="18">
        <f t="shared" ca="1" si="0"/>
        <v>25</v>
      </c>
      <c r="B30" s="38" t="str">
        <f>IF(Info!B30="Atlar şu ýeri","",Info!B30)</f>
        <v>Orunowa Aýjemal</v>
      </c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20"/>
      <c r="AB30" s="21" t="str">
        <f t="shared" si="1"/>
        <v/>
      </c>
      <c r="AC30" s="22" t="str">
        <f t="shared" si="2"/>
        <v/>
      </c>
      <c r="AD30" s="23" t="str">
        <f>IF(AC30="","","   "&amp;INDEX(Results!$W$6:$W$18,MATCH(AC30,Results!$V$6:$V$18,1)))</f>
        <v/>
      </c>
    </row>
    <row r="31" spans="1:30" x14ac:dyDescent="0.2">
      <c r="A31" s="18">
        <f t="shared" ca="1" si="0"/>
        <v>26</v>
      </c>
      <c r="B31" s="38" t="str">
        <f>IF(Info!B31="Atlar şu ýeri","",Info!B31)</f>
        <v>Öwezow Döwlet</v>
      </c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20"/>
      <c r="AB31" s="21" t="str">
        <f t="shared" si="1"/>
        <v/>
      </c>
      <c r="AC31" s="22" t="str">
        <f t="shared" si="2"/>
        <v/>
      </c>
      <c r="AD31" s="23" t="str">
        <f>IF(AC31="","","   "&amp;INDEX(Results!$W$6:$W$18,MATCH(AC31,Results!$V$6:$V$18,1)))</f>
        <v/>
      </c>
    </row>
    <row r="32" spans="1:30" x14ac:dyDescent="0.2">
      <c r="A32" s="18">
        <f t="shared" ca="1" si="0"/>
        <v>27</v>
      </c>
      <c r="B32" s="38" t="str">
        <f>IF(Info!B32="Atlar şu ýeri","",Info!B32)</f>
        <v>Piriýew Aýhan</v>
      </c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20"/>
      <c r="AB32" s="21" t="str">
        <f t="shared" si="1"/>
        <v/>
      </c>
      <c r="AC32" s="22" t="str">
        <f t="shared" si="2"/>
        <v/>
      </c>
      <c r="AD32" s="23" t="str">
        <f>IF(AC32="","","   "&amp;INDEX(Results!$W$6:$W$18,MATCH(AC32,Results!$V$6:$V$18,1)))</f>
        <v/>
      </c>
    </row>
    <row r="33" spans="1:32" x14ac:dyDescent="0.2">
      <c r="A33" s="18">
        <f t="shared" ca="1" si="0"/>
        <v>28</v>
      </c>
      <c r="B33" s="38" t="str">
        <f>IF(Info!B33="Atlar şu ýeri","",Info!B33)</f>
        <v>Taganow Sanjar</v>
      </c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20"/>
      <c r="AB33" s="21" t="str">
        <f t="shared" si="1"/>
        <v/>
      </c>
      <c r="AC33" s="22" t="str">
        <f t="shared" si="2"/>
        <v/>
      </c>
      <c r="AD33" s="23" t="str">
        <f>IF(AC33="","","   "&amp;INDEX(Results!$W$6:$W$18,MATCH(AC33,Results!$V$6:$V$18,1)))</f>
        <v/>
      </c>
    </row>
    <row r="34" spans="1:32" x14ac:dyDescent="0.2">
      <c r="A34" s="18">
        <f t="shared" ca="1" si="0"/>
        <v>29</v>
      </c>
      <c r="B34" s="38" t="str">
        <f>IF(Info!B34="Atlar şu ýeri","",Info!B34)</f>
        <v>Weliýew Öwez</v>
      </c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20"/>
      <c r="AB34" s="21" t="str">
        <f t="shared" si="1"/>
        <v/>
      </c>
      <c r="AC34" s="22" t="str">
        <f t="shared" si="2"/>
        <v/>
      </c>
      <c r="AD34" s="23" t="str">
        <f>IF(AC34="","","   "&amp;INDEX(Results!$W$6:$W$18,MATCH(AC34,Results!$V$6:$V$18,1)))</f>
        <v/>
      </c>
    </row>
    <row r="35" spans="1:32" x14ac:dyDescent="0.2">
      <c r="A35" s="18">
        <f t="shared" ca="1" si="0"/>
        <v>30</v>
      </c>
      <c r="B35" s="38" t="str">
        <f>IF(Info!B35="Atlar şu ýeri","",Info!B35)</f>
        <v>Ýagşybaýew Muhammet</v>
      </c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20"/>
      <c r="AB35" s="21" t="str">
        <f t="shared" si="1"/>
        <v/>
      </c>
      <c r="AC35" s="22" t="str">
        <f t="shared" si="2"/>
        <v/>
      </c>
      <c r="AD35" s="23" t="str">
        <f>IF(AC35="","","   "&amp;INDEX(Results!$W$6:$W$18,MATCH(AC35,Results!$V$6:$V$18,1)))</f>
        <v/>
      </c>
    </row>
    <row r="36" spans="1:32" x14ac:dyDescent="0.2">
      <c r="A36" s="18">
        <f t="shared" ca="1" si="0"/>
        <v>31</v>
      </c>
      <c r="B36" s="38" t="str">
        <f>IF(Info!B36="Atlar şu ýeri","",Info!B36)</f>
        <v>Ýazberdiýewa Söýli</v>
      </c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20"/>
      <c r="AB36" s="21" t="str">
        <f t="shared" si="1"/>
        <v/>
      </c>
      <c r="AC36" s="22" t="str">
        <f t="shared" si="2"/>
        <v/>
      </c>
      <c r="AD36" s="23" t="str">
        <f>IF(AC36="","","   "&amp;INDEX(Results!$W$6:$W$18,MATCH(AC36,Results!$V$6:$V$18,1)))</f>
        <v/>
      </c>
    </row>
    <row r="37" spans="1:32" x14ac:dyDescent="0.2">
      <c r="A37" s="18">
        <f t="shared" ca="1" si="0"/>
        <v>32</v>
      </c>
      <c r="B37" s="38" t="str">
        <f>IF(Info!B37="Atlar şu ýeri","",Info!B37)</f>
        <v>Ýazyýewa Meňli</v>
      </c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20"/>
      <c r="AB37" s="21" t="str">
        <f t="shared" si="1"/>
        <v/>
      </c>
      <c r="AC37" s="22" t="str">
        <f t="shared" si="2"/>
        <v/>
      </c>
      <c r="AD37" s="23" t="str">
        <f>IF(AC37="","","   "&amp;INDEX(Results!$W$6:$W$18,MATCH(AC37,Results!$V$6:$V$18,1)))</f>
        <v/>
      </c>
    </row>
    <row r="38" spans="1:32" x14ac:dyDescent="0.2">
      <c r="A38" s="18">
        <f t="shared" ca="1" si="0"/>
        <v>33</v>
      </c>
      <c r="B38" s="38" t="str">
        <f>IF(Info!B38="Atlar şu ýeri","",Info!B38)</f>
        <v>Ýunusow Ýunus</v>
      </c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20"/>
      <c r="AB38" s="21" t="str">
        <f t="shared" si="1"/>
        <v/>
      </c>
      <c r="AC38" s="22" t="str">
        <f t="shared" si="2"/>
        <v/>
      </c>
      <c r="AD38" s="23" t="str">
        <f>IF(AC38="","","   "&amp;INDEX(Results!$W$6:$W$18,MATCH(AC38,Results!$V$6:$V$18,1)))</f>
        <v/>
      </c>
    </row>
    <row r="39" spans="1:32" x14ac:dyDescent="0.2">
      <c r="A39" s="18">
        <f t="shared" ca="1" si="0"/>
        <v>34</v>
      </c>
      <c r="B39" s="38" t="str">
        <f>IF(Info!B39="Atlar şu ýeri","",Info!B39)</f>
        <v>Ýusupowa  Jahan</v>
      </c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20"/>
      <c r="AB39" s="21" t="str">
        <f t="shared" si="1"/>
        <v/>
      </c>
      <c r="AC39" s="22" t="str">
        <f t="shared" si="2"/>
        <v/>
      </c>
      <c r="AD39" s="23" t="str">
        <f>IF(AC39="","","   "&amp;INDEX(Results!$W$6:$W$18,MATCH(AC39,Results!$V$6:$V$18,1)))</f>
        <v/>
      </c>
    </row>
    <row r="40" spans="1:32" x14ac:dyDescent="0.2">
      <c r="A40" s="18">
        <f t="shared" ca="1" si="0"/>
        <v>35</v>
      </c>
      <c r="B40" s="38" t="str">
        <f>IF(Info!B40="Atlar şu ýeri","",Info!B40)</f>
        <v/>
      </c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20"/>
      <c r="AB40" s="21" t="str">
        <f t="shared" si="1"/>
        <v/>
      </c>
      <c r="AC40" s="22" t="str">
        <f t="shared" si="2"/>
        <v/>
      </c>
      <c r="AD40" s="23" t="str">
        <f>IF(AC40="","","   "&amp;INDEX(Results!$W$6:$W$18,MATCH(AC40,Results!$V$6:$V$18,1)))</f>
        <v/>
      </c>
    </row>
    <row r="41" spans="1:32" x14ac:dyDescent="0.2">
      <c r="A41" s="18">
        <f t="shared" ca="1" si="0"/>
        <v>36</v>
      </c>
      <c r="B41" s="38" t="str">
        <f>IF(Info!B41="Atlar şu ýeri","",Info!B41)</f>
        <v/>
      </c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20"/>
      <c r="AB41" s="21" t="str">
        <f t="shared" si="1"/>
        <v/>
      </c>
      <c r="AC41" s="22" t="str">
        <f t="shared" si="2"/>
        <v/>
      </c>
      <c r="AD41" s="23" t="str">
        <f>IF(AC41="","","   "&amp;INDEX(Results!$W$6:$W$18,MATCH(AC41,Results!$V$6:$V$18,1)))</f>
        <v/>
      </c>
    </row>
    <row r="42" spans="1:32" x14ac:dyDescent="0.2">
      <c r="A42" s="18">
        <f t="shared" ca="1" si="0"/>
        <v>37</v>
      </c>
      <c r="B42" s="38" t="str">
        <f>IF(Info!B42="Atlar şu ýeri","",Info!B42)</f>
        <v/>
      </c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20"/>
      <c r="AB42" s="21" t="str">
        <f t="shared" si="1"/>
        <v/>
      </c>
      <c r="AC42" s="22" t="str">
        <f t="shared" si="2"/>
        <v/>
      </c>
      <c r="AD42" s="23" t="str">
        <f>IF(AC42="","","   "&amp;INDEX(Results!$W$6:$W$18,MATCH(AC42,Results!$V$6:$V$18,1)))</f>
        <v/>
      </c>
    </row>
    <row r="43" spans="1:32" x14ac:dyDescent="0.2">
      <c r="A43" s="18">
        <f t="shared" ca="1" si="0"/>
        <v>38</v>
      </c>
      <c r="B43" s="38" t="str">
        <f>IF(Info!B43="Atlar şu ýeri","",Info!B43)</f>
        <v/>
      </c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20"/>
      <c r="AB43" s="21" t="str">
        <f t="shared" si="1"/>
        <v/>
      </c>
      <c r="AC43" s="22" t="str">
        <f t="shared" si="2"/>
        <v/>
      </c>
      <c r="AD43" s="23" t="str">
        <f>IF(AC43="","","   "&amp;INDEX(Results!$W$6:$W$18,MATCH(AC43,Results!$V$6:$V$18,1)))</f>
        <v/>
      </c>
    </row>
    <row r="44" spans="1:32" x14ac:dyDescent="0.2">
      <c r="A44" s="18">
        <f t="shared" ca="1" si="0"/>
        <v>39</v>
      </c>
      <c r="B44" s="38" t="str">
        <f>IF(Info!B44="Atlar şu ýeri","",Info!B44)</f>
        <v/>
      </c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20"/>
      <c r="AB44" s="21" t="str">
        <f t="shared" si="1"/>
        <v/>
      </c>
      <c r="AC44" s="22" t="str">
        <f t="shared" si="2"/>
        <v/>
      </c>
      <c r="AD44" s="23" t="str">
        <f>IF(AC44="","","   "&amp;INDEX(Results!$W$6:$W$18,MATCH(AC44,Results!$V$6:$V$18,1)))</f>
        <v/>
      </c>
    </row>
    <row r="45" spans="1:32" x14ac:dyDescent="0.2">
      <c r="A45" s="18">
        <f t="shared" ca="1" si="0"/>
        <v>40</v>
      </c>
      <c r="B45" s="38" t="str">
        <f>IF(Info!B45="Atlar şu ýeri","",Info!B45)</f>
        <v/>
      </c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20"/>
      <c r="AB45" s="21" t="str">
        <f t="shared" si="1"/>
        <v/>
      </c>
      <c r="AC45" s="22" t="str">
        <f t="shared" si="2"/>
        <v/>
      </c>
      <c r="AD45" s="23" t="str">
        <f>IF(AC45="","","   "&amp;INDEX(Results!$W$6:$W$18,MATCH(AC45,Results!$V$6:$V$18,1)))</f>
        <v/>
      </c>
    </row>
    <row r="46" spans="1:32" x14ac:dyDescent="0.2">
      <c r="A46" s="24" t="s">
        <v>0</v>
      </c>
      <c r="B46" s="25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96">
        <v>1</v>
      </c>
      <c r="AA46" s="27"/>
      <c r="AB46" s="28"/>
      <c r="AC46" s="29"/>
      <c r="AD46" s="30"/>
    </row>
    <row r="47" spans="1:32" x14ac:dyDescent="0.2">
      <c r="A47" s="2"/>
      <c r="B47" s="31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AA47" s="27"/>
      <c r="AB47" s="33" t="s">
        <v>155</v>
      </c>
      <c r="AC47" s="34" t="e">
        <f>AVERAGE(AC6:AC46)</f>
        <v>#DIV/0!</v>
      </c>
      <c r="AD47" s="35" t="e">
        <f>IF(AC47="","",INDEX(Results!$W$6:$W$18,MATCH(AC47,Results!$V$6:$V$18,1)))</f>
        <v>#DIV/0!</v>
      </c>
      <c r="AF47" s="36"/>
    </row>
    <row r="48" spans="1:32" x14ac:dyDescent="0.2">
      <c r="A48" s="2"/>
      <c r="B48" s="31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27"/>
      <c r="AB48" s="90"/>
      <c r="AC48" s="91"/>
      <c r="AD48" s="92"/>
      <c r="AF48" s="36"/>
    </row>
    <row r="49" spans="1:30" x14ac:dyDescent="0.2">
      <c r="A49" s="2"/>
      <c r="B49" s="37"/>
      <c r="C49" s="32"/>
      <c r="D49" s="32"/>
      <c r="E49" s="32"/>
      <c r="F49" s="32"/>
      <c r="G49" s="32"/>
      <c r="H49" s="32"/>
      <c r="I49" s="93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27"/>
      <c r="AB49" s="2"/>
      <c r="AC49" s="2"/>
      <c r="AD49" s="2"/>
    </row>
  </sheetData>
  <mergeCells count="4">
    <mergeCell ref="AB3:AB4"/>
    <mergeCell ref="AC3:AC4"/>
    <mergeCell ref="AD3:AD4"/>
    <mergeCell ref="C1:T1"/>
  </mergeCell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/>
  <headerFooter alignWithMargins="0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30</xdr:col>
                <xdr:colOff>85725</xdr:colOff>
                <xdr:row>1</xdr:row>
                <xdr:rowOff>95250</xdr:rowOff>
              </from>
              <to>
                <xdr:col>31</xdr:col>
                <xdr:colOff>885825</xdr:colOff>
                <xdr:row>3</xdr:row>
                <xdr:rowOff>38100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49"/>
  <sheetViews>
    <sheetView topLeftCell="K1" workbookViewId="0">
      <selection sqref="A1:AL50"/>
    </sheetView>
  </sheetViews>
  <sheetFormatPr defaultRowHeight="12.75" x14ac:dyDescent="0.2"/>
  <cols>
    <col min="1" max="1" width="3.7109375" style="1" customWidth="1"/>
    <col min="2" max="2" width="37.42578125" style="1" bestFit="1" customWidth="1"/>
    <col min="3" max="3" width="9" style="1" bestFit="1" customWidth="1"/>
    <col min="4" max="5" width="7.140625" style="1" customWidth="1"/>
    <col min="6" max="6" width="7.85546875" style="1" bestFit="1" customWidth="1"/>
    <col min="7" max="16" width="7.140625" style="1" customWidth="1"/>
    <col min="17" max="17" width="1.42578125" style="1" customWidth="1"/>
    <col min="18" max="18" width="7.5703125" style="1" customWidth="1"/>
    <col min="19" max="19" width="10.5703125" style="1" bestFit="1" customWidth="1"/>
    <col min="20" max="20" width="6.85546875" style="1" customWidth="1"/>
    <col min="21" max="21" width="5.28515625" style="1" customWidth="1"/>
    <col min="22" max="22" width="16.7109375" style="1" customWidth="1"/>
    <col min="23" max="16384" width="9.140625" style="1"/>
  </cols>
  <sheetData>
    <row r="1" spans="1:30" ht="19.5" x14ac:dyDescent="0.3">
      <c r="A1" s="2"/>
      <c r="B1" s="3" t="s">
        <v>56</v>
      </c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87"/>
      <c r="V1" s="87"/>
      <c r="W1" s="4"/>
      <c r="X1" s="4"/>
      <c r="Y1" s="4"/>
      <c r="Z1" s="4"/>
      <c r="AA1" s="4"/>
      <c r="AB1" s="4"/>
      <c r="AC1" s="6"/>
      <c r="AD1" s="6"/>
    </row>
    <row r="2" spans="1:30" ht="15" x14ac:dyDescent="0.25">
      <c r="A2" s="2"/>
      <c r="B2" s="7" t="s">
        <v>2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10"/>
    </row>
    <row r="3" spans="1:30" ht="42" customHeight="1" x14ac:dyDescent="0.25">
      <c r="A3" s="11"/>
      <c r="B3" s="12" t="s">
        <v>14</v>
      </c>
      <c r="C3" s="13" t="s">
        <v>15</v>
      </c>
      <c r="D3" s="13" t="s">
        <v>16</v>
      </c>
      <c r="E3" s="13" t="s">
        <v>17</v>
      </c>
      <c r="F3" s="13" t="s">
        <v>18</v>
      </c>
      <c r="G3" s="13" t="s">
        <v>19</v>
      </c>
      <c r="H3" s="13" t="s">
        <v>20</v>
      </c>
      <c r="I3" s="13" t="s">
        <v>21</v>
      </c>
      <c r="J3" s="13" t="s">
        <v>22</v>
      </c>
      <c r="K3" s="13" t="s">
        <v>23</v>
      </c>
      <c r="L3" s="13" t="s">
        <v>24</v>
      </c>
      <c r="M3" s="13" t="s">
        <v>25</v>
      </c>
      <c r="N3" s="13" t="s">
        <v>26</v>
      </c>
      <c r="O3" s="13" t="s">
        <v>27</v>
      </c>
      <c r="P3" s="13" t="s">
        <v>28</v>
      </c>
      <c r="Q3" s="13" t="s">
        <v>46</v>
      </c>
      <c r="R3" s="13" t="s">
        <v>47</v>
      </c>
      <c r="S3" s="13" t="s">
        <v>48</v>
      </c>
      <c r="T3" s="13" t="s">
        <v>49</v>
      </c>
      <c r="U3" s="13" t="s">
        <v>50</v>
      </c>
      <c r="V3" s="13" t="s">
        <v>51</v>
      </c>
      <c r="W3" s="13" t="s">
        <v>52</v>
      </c>
      <c r="X3" s="13" t="s">
        <v>53</v>
      </c>
      <c r="Y3" s="13" t="s">
        <v>54</v>
      </c>
      <c r="Z3" s="13" t="s">
        <v>55</v>
      </c>
      <c r="AA3" s="14"/>
      <c r="AB3" s="97" t="s">
        <v>29</v>
      </c>
      <c r="AC3" s="98" t="s">
        <v>36</v>
      </c>
      <c r="AD3" s="99" t="s">
        <v>35</v>
      </c>
    </row>
    <row r="4" spans="1:30" x14ac:dyDescent="0.2">
      <c r="A4" s="11"/>
      <c r="B4" s="15" t="s">
        <v>30</v>
      </c>
      <c r="C4" s="16">
        <v>5</v>
      </c>
      <c r="D4" s="16">
        <v>5</v>
      </c>
      <c r="E4" s="16">
        <v>5</v>
      </c>
      <c r="F4" s="16">
        <v>5</v>
      </c>
      <c r="G4" s="16">
        <v>5</v>
      </c>
      <c r="H4" s="16">
        <v>5</v>
      </c>
      <c r="I4" s="16">
        <v>5</v>
      </c>
      <c r="J4" s="16">
        <v>5</v>
      </c>
      <c r="K4" s="16">
        <v>5</v>
      </c>
      <c r="L4" s="16">
        <v>5</v>
      </c>
      <c r="M4" s="16">
        <v>5</v>
      </c>
      <c r="N4" s="16">
        <v>5</v>
      </c>
      <c r="O4" s="16">
        <v>5</v>
      </c>
      <c r="P4" s="16">
        <v>5</v>
      </c>
      <c r="Q4" s="16">
        <v>5</v>
      </c>
      <c r="R4" s="16">
        <v>5</v>
      </c>
      <c r="S4" s="16">
        <v>5</v>
      </c>
      <c r="T4" s="16">
        <v>5</v>
      </c>
      <c r="U4" s="16">
        <v>5</v>
      </c>
      <c r="V4" s="16">
        <v>5</v>
      </c>
      <c r="W4" s="16">
        <v>5</v>
      </c>
      <c r="X4" s="16">
        <v>5</v>
      </c>
      <c r="Y4" s="16">
        <v>5</v>
      </c>
      <c r="Z4" s="16">
        <v>5</v>
      </c>
      <c r="AA4" s="17"/>
      <c r="AB4" s="97"/>
      <c r="AC4" s="97"/>
      <c r="AD4" s="97"/>
    </row>
    <row r="5" spans="1:30" ht="6" customHeight="1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18">
        <f t="shared" ref="A6:A45" ca="1" si="0">OFFSET(A6,-1,0,1,1)+1</f>
        <v>1</v>
      </c>
      <c r="B6" s="38" t="str">
        <f>IF(Info!B6="Atlar şu ýeri","",Info!B6)</f>
        <v>Abdullaýewa Dinara</v>
      </c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20"/>
      <c r="AB6" s="21" t="str">
        <f>IF(SUM(C6:Z6)=0,"",SUMPRODUCT(C6:Z6))</f>
        <v/>
      </c>
      <c r="AC6" s="22" t="str">
        <f>IF(SUM(C6:Z6)=0,"",AB6/(SUMIF(C6:Z6,"&lt;&gt;",$C$4:$Z$4)-SUMIF(C6:Z6,"=E",$C$4:$Z$4)))</f>
        <v/>
      </c>
      <c r="AD6" s="23" t="str">
        <f>IF(AC6="","","   "&amp;INDEX(Results!$W$6:$W$18,MATCH(AC6,Results!$V$6:$V$18,1)))</f>
        <v/>
      </c>
    </row>
    <row r="7" spans="1:30" x14ac:dyDescent="0.2">
      <c r="A7" s="18">
        <f t="shared" ca="1" si="0"/>
        <v>2</v>
      </c>
      <c r="B7" s="38" t="str">
        <f>IF(Info!B7="Atlar şu ýeri","",Info!B7)</f>
        <v>Arslanow Yhlas</v>
      </c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20"/>
      <c r="AB7" s="21" t="str">
        <f t="shared" ref="AB7:AB45" si="1">IF(SUM(C7:Z7)=0,"",SUMPRODUCT(C7:Z7))</f>
        <v/>
      </c>
      <c r="AC7" s="22" t="str">
        <f t="shared" ref="AC7:AC45" si="2">IF(SUM(C7:Z7)=0,"",AB7/(SUMIF(C7:Z7,"&lt;&gt;",$C$4:$Z$4)-SUMIF(C7:Z7,"=E",$C$4:$Z$4)))</f>
        <v/>
      </c>
      <c r="AD7" s="23" t="str">
        <f>IF(AC7="","","   "&amp;INDEX(Results!$W$6:$W$18,MATCH(AC7,Results!$V$6:$V$18,1)))</f>
        <v/>
      </c>
    </row>
    <row r="8" spans="1:30" x14ac:dyDescent="0.2">
      <c r="A8" s="18">
        <f t="shared" ca="1" si="0"/>
        <v>3</v>
      </c>
      <c r="B8" s="38" t="str">
        <f>IF(Info!B8="Atlar şu ýeri","",Info!B8)</f>
        <v>Aşyrowa Maýsa</v>
      </c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20"/>
      <c r="AB8" s="21" t="str">
        <f t="shared" si="1"/>
        <v/>
      </c>
      <c r="AC8" s="22" t="str">
        <f t="shared" si="2"/>
        <v/>
      </c>
      <c r="AD8" s="23" t="str">
        <f>IF(AC8="","","   "&amp;INDEX(Results!$W$6:$W$18,MATCH(AC8,Results!$V$6:$V$18,1)))</f>
        <v/>
      </c>
    </row>
    <row r="9" spans="1:30" x14ac:dyDescent="0.2">
      <c r="A9" s="18">
        <f t="shared" ca="1" si="0"/>
        <v>4</v>
      </c>
      <c r="B9" s="38" t="str">
        <f>IF(Info!B9="Atlar şu ýeri","",Info!B9)</f>
        <v>Atabaýewa Ogulaý</v>
      </c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20"/>
      <c r="AB9" s="21" t="str">
        <f t="shared" si="1"/>
        <v/>
      </c>
      <c r="AC9" s="22" t="str">
        <f t="shared" si="2"/>
        <v/>
      </c>
      <c r="AD9" s="23" t="str">
        <f>IF(AC9="","","   "&amp;INDEX(Results!$W$6:$W$18,MATCH(AC9,Results!$V$6:$V$18,1)))</f>
        <v/>
      </c>
    </row>
    <row r="10" spans="1:30" x14ac:dyDescent="0.2">
      <c r="A10" s="18">
        <f t="shared" ca="1" si="0"/>
        <v>5</v>
      </c>
      <c r="B10" s="38" t="str">
        <f>IF(Info!B10="Atlar şu ýeri","",Info!B10)</f>
        <v>Atanazarow Meýlis</v>
      </c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20"/>
      <c r="AB10" s="21" t="str">
        <f t="shared" si="1"/>
        <v/>
      </c>
      <c r="AC10" s="22" t="str">
        <f t="shared" si="2"/>
        <v/>
      </c>
      <c r="AD10" s="23" t="str">
        <f>IF(AC10="","","   "&amp;INDEX(Results!$W$6:$W$18,MATCH(AC10,Results!$V$6:$V$18,1)))</f>
        <v/>
      </c>
    </row>
    <row r="11" spans="1:30" x14ac:dyDescent="0.2">
      <c r="A11" s="18">
        <f t="shared" ca="1" si="0"/>
        <v>6</v>
      </c>
      <c r="B11" s="38" t="str">
        <f>IF(Info!B11="Atlar şu ýeri","",Info!B11)</f>
        <v>Babajanowa Aýlar</v>
      </c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20"/>
      <c r="AB11" s="21" t="str">
        <f t="shared" si="1"/>
        <v/>
      </c>
      <c r="AC11" s="22" t="str">
        <f t="shared" si="2"/>
        <v/>
      </c>
      <c r="AD11" s="23" t="str">
        <f>IF(AC11="","","   "&amp;INDEX(Results!$W$6:$W$18,MATCH(AC11,Results!$V$6:$V$18,1)))</f>
        <v/>
      </c>
    </row>
    <row r="12" spans="1:30" x14ac:dyDescent="0.2">
      <c r="A12" s="18">
        <f t="shared" ca="1" si="0"/>
        <v>7</v>
      </c>
      <c r="B12" s="38" t="str">
        <f>IF(Info!B12="Atlar şu ýeri","",Info!B12)</f>
        <v>Babajanowa Selbi</v>
      </c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20"/>
      <c r="AB12" s="21" t="str">
        <f t="shared" si="1"/>
        <v/>
      </c>
      <c r="AC12" s="22" t="str">
        <f t="shared" si="2"/>
        <v/>
      </c>
      <c r="AD12" s="23" t="str">
        <f>IF(AC12="","","   "&amp;INDEX(Results!$W$6:$W$18,MATCH(AC12,Results!$V$6:$V$18,1)))</f>
        <v/>
      </c>
    </row>
    <row r="13" spans="1:30" x14ac:dyDescent="0.2">
      <c r="A13" s="18">
        <f t="shared" ca="1" si="0"/>
        <v>8</v>
      </c>
      <c r="B13" s="38" t="str">
        <f>IF(Info!B13="Atlar şu ýeri","",Info!B13)</f>
        <v>Ataýew Nurgeldi</v>
      </c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20"/>
      <c r="AB13" s="21" t="str">
        <f t="shared" si="1"/>
        <v/>
      </c>
      <c r="AC13" s="22" t="str">
        <f t="shared" si="2"/>
        <v/>
      </c>
      <c r="AD13" s="23" t="str">
        <f>IF(AC13="","","   "&amp;INDEX(Results!$W$6:$W$18,MATCH(AC13,Results!$V$6:$V$18,1)))</f>
        <v/>
      </c>
    </row>
    <row r="14" spans="1:30" x14ac:dyDescent="0.2">
      <c r="A14" s="18">
        <f t="shared" ca="1" si="0"/>
        <v>9</v>
      </c>
      <c r="B14" s="38" t="str">
        <f>IF(Info!B14="Atlar şu ýeri","",Info!B14)</f>
        <v>Batyrow Arafat</v>
      </c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20"/>
      <c r="AB14" s="21" t="str">
        <f t="shared" si="1"/>
        <v/>
      </c>
      <c r="AC14" s="22" t="str">
        <f t="shared" si="2"/>
        <v/>
      </c>
      <c r="AD14" s="23" t="str">
        <f>IF(AC14="","","   "&amp;INDEX(Results!$W$6:$W$18,MATCH(AC14,Results!$V$6:$V$18,1)))</f>
        <v/>
      </c>
    </row>
    <row r="15" spans="1:30" x14ac:dyDescent="0.2">
      <c r="A15" s="18">
        <f t="shared" ca="1" si="0"/>
        <v>10</v>
      </c>
      <c r="B15" s="38" t="str">
        <f>IF(Info!B15="Atlar şu ýeri","",Info!B15)</f>
        <v>Çaryýew Kemal</v>
      </c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20"/>
      <c r="AB15" s="21" t="str">
        <f t="shared" si="1"/>
        <v/>
      </c>
      <c r="AC15" s="22" t="str">
        <f t="shared" si="2"/>
        <v/>
      </c>
      <c r="AD15" s="23" t="str">
        <f>IF(AC15="","","   "&amp;INDEX(Results!$W$6:$W$18,MATCH(AC15,Results!$V$6:$V$18,1)))</f>
        <v/>
      </c>
    </row>
    <row r="16" spans="1:30" x14ac:dyDescent="0.2">
      <c r="A16" s="18">
        <f t="shared" ca="1" si="0"/>
        <v>11</v>
      </c>
      <c r="B16" s="38" t="str">
        <f>IF(Info!B16="Atlar şu ýeri","",Info!B16)</f>
        <v>Gurbanow Mekanmyrat</v>
      </c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20"/>
      <c r="AB16" s="21" t="str">
        <f t="shared" si="1"/>
        <v/>
      </c>
      <c r="AC16" s="22" t="str">
        <f t="shared" si="2"/>
        <v/>
      </c>
      <c r="AD16" s="23" t="str">
        <f>IF(AC16="","","   "&amp;INDEX(Results!$W$6:$W$18,MATCH(AC16,Results!$V$6:$V$18,1)))</f>
        <v/>
      </c>
    </row>
    <row r="17" spans="1:30" x14ac:dyDescent="0.2">
      <c r="A17" s="18">
        <f t="shared" ca="1" si="0"/>
        <v>12</v>
      </c>
      <c r="B17" s="38" t="str">
        <f>IF(Info!B17="Atlar şu ýeri","",Info!B17)</f>
        <v>Hojamuhammedow Guwanç</v>
      </c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20"/>
      <c r="AB17" s="21" t="str">
        <f t="shared" si="1"/>
        <v/>
      </c>
      <c r="AC17" s="22" t="str">
        <f t="shared" si="2"/>
        <v/>
      </c>
      <c r="AD17" s="23" t="str">
        <f>IF(AC17="","","   "&amp;INDEX(Results!$W$6:$W$18,MATCH(AC17,Results!$V$6:$V$18,1)))</f>
        <v/>
      </c>
    </row>
    <row r="18" spans="1:30" x14ac:dyDescent="0.2">
      <c r="A18" s="18">
        <f t="shared" ca="1" si="0"/>
        <v>13</v>
      </c>
      <c r="B18" s="38" t="str">
        <f>IF(Info!B18="Atlar şu ýeri","",Info!B18)</f>
        <v xml:space="preserve">Hojamämmedow  </v>
      </c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20"/>
      <c r="AB18" s="21" t="str">
        <f t="shared" si="1"/>
        <v/>
      </c>
      <c r="AC18" s="22" t="str">
        <f t="shared" si="2"/>
        <v/>
      </c>
      <c r="AD18" s="23" t="str">
        <f>IF(AC18="","","   "&amp;INDEX(Results!$W$6:$W$18,MATCH(AC18,Results!$V$6:$V$18,1)))</f>
        <v/>
      </c>
    </row>
    <row r="19" spans="1:30" x14ac:dyDescent="0.2">
      <c r="A19" s="18">
        <f t="shared" ca="1" si="0"/>
        <v>14</v>
      </c>
      <c r="B19" s="38" t="str">
        <f>IF(Info!B19="Atlar şu ýeri","",Info!B19)</f>
        <v>Hanowa Gülälek</v>
      </c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20"/>
      <c r="AB19" s="21" t="str">
        <f t="shared" si="1"/>
        <v/>
      </c>
      <c r="AC19" s="22" t="str">
        <f t="shared" si="2"/>
        <v/>
      </c>
      <c r="AD19" s="23" t="str">
        <f>IF(AC19="","","   "&amp;INDEX(Results!$W$6:$W$18,MATCH(AC19,Results!$V$6:$V$18,1)))</f>
        <v/>
      </c>
    </row>
    <row r="20" spans="1:30" x14ac:dyDescent="0.2">
      <c r="A20" s="18">
        <f t="shared" ca="1" si="0"/>
        <v>15</v>
      </c>
      <c r="B20" s="38" t="str">
        <f>IF(Info!B20="Atlar şu ýeri","",Info!B20)</f>
        <v>Husainow Serdar</v>
      </c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20"/>
      <c r="AB20" s="21" t="str">
        <f t="shared" si="1"/>
        <v/>
      </c>
      <c r="AC20" s="22" t="str">
        <f t="shared" si="2"/>
        <v/>
      </c>
      <c r="AD20" s="23" t="str">
        <f>IF(AC20="","","   "&amp;INDEX(Results!$W$6:$W$18,MATCH(AC20,Results!$V$6:$V$18,1)))</f>
        <v/>
      </c>
    </row>
    <row r="21" spans="1:30" x14ac:dyDescent="0.2">
      <c r="A21" s="18">
        <f t="shared" ca="1" si="0"/>
        <v>16</v>
      </c>
      <c r="B21" s="38" t="str">
        <f>IF(Info!B21="Atlar şu ýeri","",Info!B21)</f>
        <v>Orunowa Täçbibi</v>
      </c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20"/>
      <c r="AB21" s="21" t="str">
        <f t="shared" si="1"/>
        <v/>
      </c>
      <c r="AC21" s="22" t="str">
        <f t="shared" si="2"/>
        <v/>
      </c>
      <c r="AD21" s="23" t="str">
        <f>IF(AC21="","","   "&amp;INDEX(Results!$W$6:$W$18,MATCH(AC21,Results!$V$6:$V$18,1)))</f>
        <v/>
      </c>
    </row>
    <row r="22" spans="1:30" x14ac:dyDescent="0.2">
      <c r="A22" s="18">
        <f t="shared" ca="1" si="0"/>
        <v>17</v>
      </c>
      <c r="B22" s="38" t="str">
        <f>IF(Info!B22="Atlar şu ýeri","",Info!B22)</f>
        <v>Ilýasow Älem</v>
      </c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20"/>
      <c r="AB22" s="21" t="str">
        <f t="shared" si="1"/>
        <v/>
      </c>
      <c r="AC22" s="22" t="str">
        <f t="shared" si="2"/>
        <v/>
      </c>
      <c r="AD22" s="23" t="str">
        <f>IF(AC22="","","   "&amp;INDEX(Results!$W$6:$W$18,MATCH(AC22,Results!$V$6:$V$18,1)))</f>
        <v/>
      </c>
    </row>
    <row r="23" spans="1:30" x14ac:dyDescent="0.2">
      <c r="A23" s="18">
        <f t="shared" ca="1" si="0"/>
        <v>18</v>
      </c>
      <c r="B23" s="38" t="str">
        <f>IF(Info!B23="Atlar şu ýeri","",Info!B23)</f>
        <v>Karabaýew Begli</v>
      </c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20"/>
      <c r="AB23" s="21" t="str">
        <f t="shared" si="1"/>
        <v/>
      </c>
      <c r="AC23" s="22" t="str">
        <f t="shared" si="2"/>
        <v/>
      </c>
      <c r="AD23" s="23" t="str">
        <f>IF(AC23="","","   "&amp;INDEX(Results!$W$6:$W$18,MATCH(AC23,Results!$V$6:$V$18,1)))</f>
        <v/>
      </c>
    </row>
    <row r="24" spans="1:30" x14ac:dyDescent="0.2">
      <c r="A24" s="18">
        <f t="shared" ca="1" si="0"/>
        <v>19</v>
      </c>
      <c r="B24" s="38" t="str">
        <f>IF(Info!B24="Atlar şu ýeri","",Info!B24)</f>
        <v>Kurbanow Wekil</v>
      </c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20"/>
      <c r="AB24" s="21" t="str">
        <f t="shared" si="1"/>
        <v/>
      </c>
      <c r="AC24" s="22" t="str">
        <f t="shared" si="2"/>
        <v/>
      </c>
      <c r="AD24" s="23" t="str">
        <f>IF(AC24="","","   "&amp;INDEX(Results!$W$6:$W$18,MATCH(AC24,Results!$V$6:$V$18,1)))</f>
        <v/>
      </c>
    </row>
    <row r="25" spans="1:30" x14ac:dyDescent="0.2">
      <c r="A25" s="18">
        <f t="shared" ca="1" si="0"/>
        <v>20</v>
      </c>
      <c r="B25" s="38" t="str">
        <f>IF(Info!B25="Atlar şu ýeri","",Info!B25)</f>
        <v>Madraimow Seidjan</v>
      </c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20"/>
      <c r="AB25" s="21" t="str">
        <f t="shared" si="1"/>
        <v/>
      </c>
      <c r="AC25" s="22" t="str">
        <f t="shared" si="2"/>
        <v/>
      </c>
      <c r="AD25" s="23" t="str">
        <f>IF(AC25="","","   "&amp;INDEX(Results!$W$6:$W$18,MATCH(AC25,Results!$V$6:$V$18,1)))</f>
        <v/>
      </c>
    </row>
    <row r="26" spans="1:30" x14ac:dyDescent="0.2">
      <c r="A26" s="18">
        <f t="shared" ca="1" si="0"/>
        <v>21</v>
      </c>
      <c r="B26" s="38" t="str">
        <f>IF(Info!B26="Atlar şu ýeri","",Info!B26)</f>
        <v>Matmuradowa Gulnur</v>
      </c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20"/>
      <c r="AB26" s="21" t="str">
        <f t="shared" si="1"/>
        <v/>
      </c>
      <c r="AC26" s="22" t="str">
        <f t="shared" si="2"/>
        <v/>
      </c>
      <c r="AD26" s="23" t="str">
        <f>IF(AC26="","","   "&amp;INDEX(Results!$W$6:$W$18,MATCH(AC26,Results!$V$6:$V$18,1)))</f>
        <v/>
      </c>
    </row>
    <row r="27" spans="1:30" x14ac:dyDescent="0.2">
      <c r="A27" s="18">
        <f t="shared" ca="1" si="0"/>
        <v>22</v>
      </c>
      <c r="B27" s="38" t="str">
        <f>IF(Info!B27="Atlar şu ýeri","",Info!B27)</f>
        <v>Myradowa Aýjahan</v>
      </c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20"/>
      <c r="AB27" s="21" t="str">
        <f t="shared" si="1"/>
        <v/>
      </c>
      <c r="AC27" s="22" t="str">
        <f t="shared" si="2"/>
        <v/>
      </c>
      <c r="AD27" s="23" t="str">
        <f>IF(AC27="","","   "&amp;INDEX(Results!$W$6:$W$18,MATCH(AC27,Results!$V$6:$V$18,1)))</f>
        <v/>
      </c>
    </row>
    <row r="28" spans="1:30" x14ac:dyDescent="0.2">
      <c r="A28" s="18">
        <f t="shared" ca="1" si="0"/>
        <v>23</v>
      </c>
      <c r="B28" s="38" t="str">
        <f>IF(Info!B28="Atlar şu ýeri","",Info!B28)</f>
        <v>Osmanowa Ýyldyz</v>
      </c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20"/>
      <c r="AB28" s="21" t="str">
        <f t="shared" si="1"/>
        <v/>
      </c>
      <c r="AC28" s="22" t="str">
        <f t="shared" si="2"/>
        <v/>
      </c>
      <c r="AD28" s="23" t="str">
        <f>IF(AC28="","","   "&amp;INDEX(Results!$W$6:$W$18,MATCH(AC28,Results!$V$6:$V$18,1)))</f>
        <v/>
      </c>
    </row>
    <row r="29" spans="1:30" x14ac:dyDescent="0.2">
      <c r="A29" s="18">
        <f t="shared" ca="1" si="0"/>
        <v>24</v>
      </c>
      <c r="B29" s="38" t="str">
        <f>IF(Info!B29="Atlar şu ýeri","",Info!B29)</f>
        <v>Orazowa Aýnur</v>
      </c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20"/>
      <c r="AB29" s="21" t="str">
        <f t="shared" si="1"/>
        <v/>
      </c>
      <c r="AC29" s="22" t="str">
        <f t="shared" si="2"/>
        <v/>
      </c>
      <c r="AD29" s="23" t="str">
        <f>IF(AC29="","","   "&amp;INDEX(Results!$W$6:$W$18,MATCH(AC29,Results!$V$6:$V$18,1)))</f>
        <v/>
      </c>
    </row>
    <row r="30" spans="1:30" x14ac:dyDescent="0.2">
      <c r="A30" s="18">
        <f t="shared" ca="1" si="0"/>
        <v>25</v>
      </c>
      <c r="B30" s="38" t="str">
        <f>IF(Info!B30="Atlar şu ýeri","",Info!B30)</f>
        <v>Orunowa Aýjemal</v>
      </c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20"/>
      <c r="AB30" s="21" t="str">
        <f t="shared" si="1"/>
        <v/>
      </c>
      <c r="AC30" s="22" t="str">
        <f t="shared" si="2"/>
        <v/>
      </c>
      <c r="AD30" s="23" t="str">
        <f>IF(AC30="","","   "&amp;INDEX(Results!$W$6:$W$18,MATCH(AC30,Results!$V$6:$V$18,1)))</f>
        <v/>
      </c>
    </row>
    <row r="31" spans="1:30" x14ac:dyDescent="0.2">
      <c r="A31" s="18">
        <f t="shared" ca="1" si="0"/>
        <v>26</v>
      </c>
      <c r="B31" s="38" t="str">
        <f>IF(Info!B31="Atlar şu ýeri","",Info!B31)</f>
        <v>Öwezow Döwlet</v>
      </c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20"/>
      <c r="AB31" s="21" t="str">
        <f t="shared" si="1"/>
        <v/>
      </c>
      <c r="AC31" s="22" t="str">
        <f t="shared" si="2"/>
        <v/>
      </c>
      <c r="AD31" s="23" t="str">
        <f>IF(AC31="","","   "&amp;INDEX(Results!$W$6:$W$18,MATCH(AC31,Results!$V$6:$V$18,1)))</f>
        <v/>
      </c>
    </row>
    <row r="32" spans="1:30" x14ac:dyDescent="0.2">
      <c r="A32" s="18">
        <f t="shared" ca="1" si="0"/>
        <v>27</v>
      </c>
      <c r="B32" s="38" t="str">
        <f>IF(Info!B32="Atlar şu ýeri","",Info!B32)</f>
        <v>Piriýew Aýhan</v>
      </c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20"/>
      <c r="AB32" s="21" t="str">
        <f t="shared" si="1"/>
        <v/>
      </c>
      <c r="AC32" s="22" t="str">
        <f t="shared" si="2"/>
        <v/>
      </c>
      <c r="AD32" s="23" t="str">
        <f>IF(AC32="","","   "&amp;INDEX(Results!$W$6:$W$18,MATCH(AC32,Results!$V$6:$V$18,1)))</f>
        <v/>
      </c>
    </row>
    <row r="33" spans="1:32" x14ac:dyDescent="0.2">
      <c r="A33" s="18">
        <f t="shared" ca="1" si="0"/>
        <v>28</v>
      </c>
      <c r="B33" s="38" t="str">
        <f>IF(Info!B33="Atlar şu ýeri","",Info!B33)</f>
        <v>Taganow Sanjar</v>
      </c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20"/>
      <c r="AB33" s="21" t="str">
        <f t="shared" si="1"/>
        <v/>
      </c>
      <c r="AC33" s="22" t="str">
        <f t="shared" si="2"/>
        <v/>
      </c>
      <c r="AD33" s="23" t="str">
        <f>IF(AC33="","","   "&amp;INDEX(Results!$W$6:$W$18,MATCH(AC33,Results!$V$6:$V$18,1)))</f>
        <v/>
      </c>
    </row>
    <row r="34" spans="1:32" x14ac:dyDescent="0.2">
      <c r="A34" s="18">
        <f t="shared" ca="1" si="0"/>
        <v>29</v>
      </c>
      <c r="B34" s="38" t="str">
        <f>IF(Info!B34="Atlar şu ýeri","",Info!B34)</f>
        <v>Weliýew Öwez</v>
      </c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20"/>
      <c r="AB34" s="21" t="str">
        <f t="shared" si="1"/>
        <v/>
      </c>
      <c r="AC34" s="22" t="str">
        <f t="shared" si="2"/>
        <v/>
      </c>
      <c r="AD34" s="23" t="str">
        <f>IF(AC34="","","   "&amp;INDEX(Results!$W$6:$W$18,MATCH(AC34,Results!$V$6:$V$18,1)))</f>
        <v/>
      </c>
    </row>
    <row r="35" spans="1:32" x14ac:dyDescent="0.2">
      <c r="A35" s="18">
        <f t="shared" ca="1" si="0"/>
        <v>30</v>
      </c>
      <c r="B35" s="38" t="str">
        <f>IF(Info!B35="Atlar şu ýeri","",Info!B35)</f>
        <v>Ýagşybaýew Muhammet</v>
      </c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20"/>
      <c r="AB35" s="21" t="str">
        <f t="shared" si="1"/>
        <v/>
      </c>
      <c r="AC35" s="22" t="str">
        <f t="shared" si="2"/>
        <v/>
      </c>
      <c r="AD35" s="23" t="str">
        <f>IF(AC35="","","   "&amp;INDEX(Results!$W$6:$W$18,MATCH(AC35,Results!$V$6:$V$18,1)))</f>
        <v/>
      </c>
    </row>
    <row r="36" spans="1:32" x14ac:dyDescent="0.2">
      <c r="A36" s="18">
        <f t="shared" ca="1" si="0"/>
        <v>31</v>
      </c>
      <c r="B36" s="38" t="str">
        <f>IF(Info!B36="Atlar şu ýeri","",Info!B36)</f>
        <v>Ýazberdiýewa Söýli</v>
      </c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20"/>
      <c r="AB36" s="21" t="str">
        <f t="shared" si="1"/>
        <v/>
      </c>
      <c r="AC36" s="22" t="str">
        <f t="shared" si="2"/>
        <v/>
      </c>
      <c r="AD36" s="23" t="str">
        <f>IF(AC36="","","   "&amp;INDEX(Results!$W$6:$W$18,MATCH(AC36,Results!$V$6:$V$18,1)))</f>
        <v/>
      </c>
    </row>
    <row r="37" spans="1:32" x14ac:dyDescent="0.2">
      <c r="A37" s="18">
        <f t="shared" ca="1" si="0"/>
        <v>32</v>
      </c>
      <c r="B37" s="38" t="str">
        <f>IF(Info!B37="Atlar şu ýeri","",Info!B37)</f>
        <v>Ýazyýewa Meňli</v>
      </c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20"/>
      <c r="AB37" s="21" t="str">
        <f t="shared" si="1"/>
        <v/>
      </c>
      <c r="AC37" s="22" t="str">
        <f t="shared" si="2"/>
        <v/>
      </c>
      <c r="AD37" s="23" t="str">
        <f>IF(AC37="","","   "&amp;INDEX(Results!$W$6:$W$18,MATCH(AC37,Results!$V$6:$V$18,1)))</f>
        <v/>
      </c>
    </row>
    <row r="38" spans="1:32" x14ac:dyDescent="0.2">
      <c r="A38" s="18">
        <f t="shared" ca="1" si="0"/>
        <v>33</v>
      </c>
      <c r="B38" s="38" t="str">
        <f>IF(Info!B38="Atlar şu ýeri","",Info!B38)</f>
        <v>Ýunusow Ýunus</v>
      </c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20"/>
      <c r="AB38" s="21" t="str">
        <f t="shared" si="1"/>
        <v/>
      </c>
      <c r="AC38" s="22" t="str">
        <f t="shared" si="2"/>
        <v/>
      </c>
      <c r="AD38" s="23" t="str">
        <f>IF(AC38="","","   "&amp;INDEX(Results!$W$6:$W$18,MATCH(AC38,Results!$V$6:$V$18,1)))</f>
        <v/>
      </c>
    </row>
    <row r="39" spans="1:32" x14ac:dyDescent="0.2">
      <c r="A39" s="18">
        <f t="shared" ca="1" si="0"/>
        <v>34</v>
      </c>
      <c r="B39" s="38" t="str">
        <f>IF(Info!B39="Atlar şu ýeri","",Info!B39)</f>
        <v>Ýusupowa  Jahan</v>
      </c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20"/>
      <c r="AB39" s="21" t="str">
        <f t="shared" si="1"/>
        <v/>
      </c>
      <c r="AC39" s="22" t="str">
        <f t="shared" si="2"/>
        <v/>
      </c>
      <c r="AD39" s="23" t="str">
        <f>IF(AC39="","","   "&amp;INDEX(Results!$W$6:$W$18,MATCH(AC39,Results!$V$6:$V$18,1)))</f>
        <v/>
      </c>
    </row>
    <row r="40" spans="1:32" x14ac:dyDescent="0.2">
      <c r="A40" s="18">
        <f t="shared" ca="1" si="0"/>
        <v>35</v>
      </c>
      <c r="B40" s="38" t="str">
        <f>IF(Info!B40="Atlar şu ýeri","",Info!B40)</f>
        <v/>
      </c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20"/>
      <c r="AB40" s="21" t="str">
        <f t="shared" si="1"/>
        <v/>
      </c>
      <c r="AC40" s="22" t="str">
        <f t="shared" si="2"/>
        <v/>
      </c>
      <c r="AD40" s="23" t="str">
        <f>IF(AC40="","","   "&amp;INDEX(Results!$W$6:$W$18,MATCH(AC40,Results!$V$6:$V$18,1)))</f>
        <v/>
      </c>
    </row>
    <row r="41" spans="1:32" x14ac:dyDescent="0.2">
      <c r="A41" s="18">
        <f t="shared" ca="1" si="0"/>
        <v>36</v>
      </c>
      <c r="B41" s="38" t="str">
        <f>IF(Info!B41="Atlar şu ýeri","",Info!B41)</f>
        <v/>
      </c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20"/>
      <c r="AB41" s="21" t="str">
        <f t="shared" si="1"/>
        <v/>
      </c>
      <c r="AC41" s="22" t="str">
        <f t="shared" si="2"/>
        <v/>
      </c>
      <c r="AD41" s="23" t="str">
        <f>IF(AC41="","","   "&amp;INDEX(Results!$W$6:$W$18,MATCH(AC41,Results!$V$6:$V$18,1)))</f>
        <v/>
      </c>
    </row>
    <row r="42" spans="1:32" x14ac:dyDescent="0.2">
      <c r="A42" s="18">
        <f t="shared" ca="1" si="0"/>
        <v>37</v>
      </c>
      <c r="B42" s="38" t="str">
        <f>IF(Info!B42="Atlar şu ýeri","",Info!B42)</f>
        <v/>
      </c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20"/>
      <c r="AB42" s="21" t="str">
        <f t="shared" si="1"/>
        <v/>
      </c>
      <c r="AC42" s="22" t="str">
        <f t="shared" si="2"/>
        <v/>
      </c>
      <c r="AD42" s="23" t="str">
        <f>IF(AC42="","","   "&amp;INDEX(Results!$W$6:$W$18,MATCH(AC42,Results!$V$6:$V$18,1)))</f>
        <v/>
      </c>
    </row>
    <row r="43" spans="1:32" x14ac:dyDescent="0.2">
      <c r="A43" s="18">
        <f t="shared" ca="1" si="0"/>
        <v>38</v>
      </c>
      <c r="B43" s="38" t="str">
        <f>IF(Info!B43="Atlar şu ýeri","",Info!B43)</f>
        <v/>
      </c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20"/>
      <c r="AB43" s="21" t="str">
        <f t="shared" si="1"/>
        <v/>
      </c>
      <c r="AC43" s="22" t="str">
        <f t="shared" si="2"/>
        <v/>
      </c>
      <c r="AD43" s="23" t="str">
        <f>IF(AC43="","","   "&amp;INDEX(Results!$W$6:$W$18,MATCH(AC43,Results!$V$6:$V$18,1)))</f>
        <v/>
      </c>
    </row>
    <row r="44" spans="1:32" x14ac:dyDescent="0.2">
      <c r="A44" s="18">
        <f t="shared" ca="1" si="0"/>
        <v>39</v>
      </c>
      <c r="B44" s="38" t="str">
        <f>IF(Info!B44="Atlar şu ýeri","",Info!B44)</f>
        <v/>
      </c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20"/>
      <c r="AB44" s="21" t="str">
        <f t="shared" si="1"/>
        <v/>
      </c>
      <c r="AC44" s="22" t="str">
        <f t="shared" si="2"/>
        <v/>
      </c>
      <c r="AD44" s="23" t="str">
        <f>IF(AC44="","","   "&amp;INDEX(Results!$W$6:$W$18,MATCH(AC44,Results!$V$6:$V$18,1)))</f>
        <v/>
      </c>
    </row>
    <row r="45" spans="1:32" x14ac:dyDescent="0.2">
      <c r="A45" s="18">
        <f t="shared" ca="1" si="0"/>
        <v>40</v>
      </c>
      <c r="B45" s="38" t="str">
        <f>IF(Info!B45="Atlar şu ýeri","",Info!B45)</f>
        <v/>
      </c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20"/>
      <c r="AB45" s="21" t="str">
        <f t="shared" si="1"/>
        <v/>
      </c>
      <c r="AC45" s="22" t="str">
        <f t="shared" si="2"/>
        <v/>
      </c>
      <c r="AD45" s="23" t="str">
        <f>IF(AC45="","","   "&amp;INDEX(Results!$W$6:$W$18,MATCH(AC45,Results!$V$6:$V$18,1)))</f>
        <v/>
      </c>
    </row>
    <row r="46" spans="1:32" x14ac:dyDescent="0.2">
      <c r="A46" s="24" t="s">
        <v>0</v>
      </c>
      <c r="B46" s="25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7"/>
      <c r="AB46" s="28" t="str">
        <f>IF(SUM(C46:Z46)=0,"",SUMPRODUCT(C46:Z46,$C$4:$Z$4))</f>
        <v/>
      </c>
      <c r="AC46" s="29" t="str">
        <f>IF(SUM(C46:Z46)=0,"",#REF!+AB46/(SUMIF(C46:Z46,"&lt;&gt;",$C$4:$Z$4)-SUMIF(C46:Z46,"=E",$C$4:$Z$4)))</f>
        <v/>
      </c>
      <c r="AD46" s="30" t="str">
        <f>IF(AC46="","",INDEX(Results!$W$6:$W$18,MATCH(AC46,Results!$V$6:$V$18,1)))</f>
        <v/>
      </c>
    </row>
    <row r="47" spans="1:32" x14ac:dyDescent="0.2">
      <c r="A47" s="2"/>
      <c r="B47" s="31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AA47" s="27"/>
      <c r="AB47" s="33" t="s">
        <v>45</v>
      </c>
      <c r="AC47" s="34" t="e">
        <f>AVERAGE(AC6:AC46)</f>
        <v>#DIV/0!</v>
      </c>
      <c r="AD47" s="35" t="e">
        <f>IF(AC47="","",INDEX(Results!$W$6:$W$18,MATCH(AC47,Results!$V$6:$V$18,1)))</f>
        <v>#DIV/0!</v>
      </c>
      <c r="AF47" s="36"/>
    </row>
    <row r="48" spans="1:32" x14ac:dyDescent="0.2">
      <c r="A48" s="2"/>
      <c r="B48" s="31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27"/>
      <c r="AB48" s="90"/>
      <c r="AC48" s="91"/>
      <c r="AD48" s="92"/>
      <c r="AF48" s="36"/>
    </row>
    <row r="49" spans="1:30" x14ac:dyDescent="0.2">
      <c r="A49" s="2"/>
      <c r="B49" s="37"/>
      <c r="C49" s="32"/>
      <c r="D49" s="32"/>
      <c r="E49" s="32"/>
      <c r="F49" s="32"/>
      <c r="G49" s="32"/>
      <c r="H49" s="32"/>
      <c r="I49" s="93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27"/>
      <c r="AB49" s="2"/>
      <c r="AC49" s="2"/>
      <c r="AD49" s="2"/>
    </row>
  </sheetData>
  <mergeCells count="4">
    <mergeCell ref="AB3:AB4"/>
    <mergeCell ref="AC3:AC4"/>
    <mergeCell ref="AD3:AD4"/>
    <mergeCell ref="C1:T1"/>
  </mergeCell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F49"/>
  <sheetViews>
    <sheetView workbookViewId="0">
      <selection activeCell="V26" sqref="V26"/>
    </sheetView>
  </sheetViews>
  <sheetFormatPr defaultRowHeight="12.75" x14ac:dyDescent="0.2"/>
  <cols>
    <col min="1" max="1" width="3.7109375" style="1" customWidth="1"/>
    <col min="2" max="2" width="37.42578125" style="1" bestFit="1" customWidth="1"/>
    <col min="3" max="3" width="9" style="1" bestFit="1" customWidth="1"/>
    <col min="4" max="16" width="9" style="1" customWidth="1"/>
    <col min="17" max="18" width="7.140625" style="1" customWidth="1"/>
    <col min="19" max="19" width="7.85546875" style="1" bestFit="1" customWidth="1"/>
    <col min="20" max="26" width="7.140625" style="1" customWidth="1"/>
    <col min="27" max="27" width="1.42578125" style="1" customWidth="1"/>
    <col min="28" max="28" width="7.5703125" style="1" customWidth="1"/>
    <col min="29" max="29" width="10.5703125" style="1" bestFit="1" customWidth="1"/>
    <col min="30" max="30" width="6.85546875" style="1" customWidth="1"/>
    <col min="31" max="31" width="5.28515625" style="1" customWidth="1"/>
    <col min="32" max="32" width="16.7109375" style="1" customWidth="1"/>
    <col min="33" max="16384" width="9.140625" style="1"/>
  </cols>
  <sheetData>
    <row r="1" spans="1:30" ht="19.5" x14ac:dyDescent="0.3">
      <c r="A1" s="2"/>
      <c r="B1" s="3" t="s">
        <v>153</v>
      </c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87"/>
      <c r="V1" s="87"/>
      <c r="W1" s="4"/>
      <c r="X1" s="4"/>
      <c r="Y1" s="4"/>
      <c r="Z1" s="4"/>
      <c r="AA1" s="4"/>
      <c r="AB1" s="4"/>
      <c r="AC1" s="6"/>
      <c r="AD1" s="6"/>
    </row>
    <row r="2" spans="1:30" ht="31.5" customHeight="1" x14ac:dyDescent="0.25">
      <c r="A2" s="2"/>
      <c r="B2" s="7" t="s">
        <v>5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10"/>
    </row>
    <row r="3" spans="1:30" ht="42" customHeight="1" x14ac:dyDescent="0.25">
      <c r="A3" s="11"/>
      <c r="B3" s="12" t="s">
        <v>148</v>
      </c>
      <c r="C3" s="13" t="s">
        <v>124</v>
      </c>
      <c r="D3" s="13" t="s">
        <v>125</v>
      </c>
      <c r="E3" s="13" t="s">
        <v>126</v>
      </c>
      <c r="F3" s="13" t="s">
        <v>127</v>
      </c>
      <c r="G3" s="13" t="s">
        <v>128</v>
      </c>
      <c r="H3" s="13" t="s">
        <v>129</v>
      </c>
      <c r="I3" s="13" t="s">
        <v>130</v>
      </c>
      <c r="J3" s="13" t="s">
        <v>131</v>
      </c>
      <c r="K3" s="13" t="s">
        <v>132</v>
      </c>
      <c r="L3" s="13" t="s">
        <v>133</v>
      </c>
      <c r="M3" s="13" t="s">
        <v>134</v>
      </c>
      <c r="N3" s="13" t="s">
        <v>135</v>
      </c>
      <c r="O3" s="13" t="s">
        <v>136</v>
      </c>
      <c r="P3" s="13" t="s">
        <v>137</v>
      </c>
      <c r="Q3" s="13" t="s">
        <v>138</v>
      </c>
      <c r="R3" s="13" t="s">
        <v>139</v>
      </c>
      <c r="S3" s="13" t="s">
        <v>140</v>
      </c>
      <c r="T3" s="13" t="s">
        <v>141</v>
      </c>
      <c r="U3" s="13" t="s">
        <v>142</v>
      </c>
      <c r="V3" s="13" t="s">
        <v>143</v>
      </c>
      <c r="W3" s="13" t="s">
        <v>144</v>
      </c>
      <c r="X3" s="13" t="s">
        <v>145</v>
      </c>
      <c r="Y3" s="13" t="s">
        <v>146</v>
      </c>
      <c r="Z3" s="13" t="s">
        <v>147</v>
      </c>
      <c r="AA3" s="14"/>
      <c r="AB3" s="97" t="s">
        <v>156</v>
      </c>
      <c r="AC3" s="98" t="s">
        <v>157</v>
      </c>
      <c r="AD3" s="99" t="s">
        <v>158</v>
      </c>
    </row>
    <row r="4" spans="1:30" x14ac:dyDescent="0.2">
      <c r="A4" s="11"/>
      <c r="B4" s="15" t="s">
        <v>154</v>
      </c>
      <c r="C4" s="16">
        <v>5</v>
      </c>
      <c r="D4" s="16">
        <v>5</v>
      </c>
      <c r="E4" s="16">
        <v>5</v>
      </c>
      <c r="F4" s="16">
        <v>5</v>
      </c>
      <c r="G4" s="16">
        <v>5</v>
      </c>
      <c r="H4" s="16">
        <v>5</v>
      </c>
      <c r="I4" s="16">
        <v>5</v>
      </c>
      <c r="J4" s="16">
        <v>5</v>
      </c>
      <c r="K4" s="16">
        <v>5</v>
      </c>
      <c r="L4" s="16">
        <v>5</v>
      </c>
      <c r="M4" s="16">
        <v>5</v>
      </c>
      <c r="N4" s="16">
        <v>5</v>
      </c>
      <c r="O4" s="16">
        <v>5</v>
      </c>
      <c r="P4" s="16">
        <v>5</v>
      </c>
      <c r="Q4" s="16">
        <v>5</v>
      </c>
      <c r="R4" s="16">
        <v>5</v>
      </c>
      <c r="S4" s="16">
        <v>5</v>
      </c>
      <c r="T4" s="16">
        <v>5</v>
      </c>
      <c r="U4" s="16">
        <v>5</v>
      </c>
      <c r="V4" s="16">
        <v>5</v>
      </c>
      <c r="W4" s="16">
        <v>5</v>
      </c>
      <c r="X4" s="16">
        <v>5</v>
      </c>
      <c r="Y4" s="16">
        <v>5</v>
      </c>
      <c r="Z4" s="16">
        <v>5</v>
      </c>
      <c r="AA4" s="17"/>
      <c r="AB4" s="97"/>
      <c r="AC4" s="97"/>
      <c r="AD4" s="97"/>
    </row>
    <row r="5" spans="1:30" ht="6" customHeight="1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18">
        <f t="shared" ref="A6:A45" ca="1" si="0">OFFSET(A6,-1,0,1,1)+1</f>
        <v>1</v>
      </c>
      <c r="B6" s="38" t="str">
        <f>IF(Info!B6="Atlar şu ýeri","",Info!B6)</f>
        <v>Abdullaýewa Dinara</v>
      </c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20"/>
      <c r="AB6" s="21" t="str">
        <f>IF(SUM(C6:Z6)=0,"",SUMPRODUCT(C6:Z6))</f>
        <v/>
      </c>
      <c r="AC6" s="22" t="str">
        <f>IF(SUM(C6:Z6)=0,"",AB6/(SUMIF(C6:Z6,"&lt;&gt;",$C$4:$Z$4)-SUMIF(C6:Z6,"=E",$C$4:$Z$4)))</f>
        <v/>
      </c>
      <c r="AD6" s="23" t="str">
        <f>IF(AC6="","","   "&amp;INDEX(Results!$W$6:$W$18,MATCH(AC6,Results!$V$6:$V$18,1)))</f>
        <v/>
      </c>
    </row>
    <row r="7" spans="1:30" x14ac:dyDescent="0.2">
      <c r="A7" s="18">
        <f t="shared" ca="1" si="0"/>
        <v>2</v>
      </c>
      <c r="B7" s="38" t="str">
        <f>IF(Info!B7="Atlar şu ýeri","",Info!B7)</f>
        <v>Arslanow Yhlas</v>
      </c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20"/>
      <c r="AB7" s="21" t="str">
        <f t="shared" ref="AB7:AB45" si="1">IF(SUM(C7:Z7)=0,"",SUMPRODUCT(C7:Z7))</f>
        <v/>
      </c>
      <c r="AC7" s="22" t="str">
        <f t="shared" ref="AC7:AC45" si="2">IF(SUM(C7:Z7)=0,"",AB7/(SUMIF(C7:Z7,"&lt;&gt;",$C$4:$Z$4)-SUMIF(C7:Z7,"=E",$C$4:$Z$4)))</f>
        <v/>
      </c>
      <c r="AD7" s="23" t="str">
        <f>IF(AC7="","","   "&amp;INDEX(Results!$W$6:$W$18,MATCH(AC7,Results!$V$6:$V$18,1)))</f>
        <v/>
      </c>
    </row>
    <row r="8" spans="1:30" x14ac:dyDescent="0.2">
      <c r="A8" s="18">
        <f t="shared" ca="1" si="0"/>
        <v>3</v>
      </c>
      <c r="B8" s="38" t="str">
        <f>IF(Info!B8="Atlar şu ýeri","",Info!B8)</f>
        <v>Aşyrowa Maýsa</v>
      </c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20"/>
      <c r="AB8" s="21" t="str">
        <f t="shared" si="1"/>
        <v/>
      </c>
      <c r="AC8" s="22" t="str">
        <f t="shared" si="2"/>
        <v/>
      </c>
      <c r="AD8" s="23" t="str">
        <f>IF(AC8="","","   "&amp;INDEX(Results!$W$6:$W$18,MATCH(AC8,Results!$V$6:$V$18,1)))</f>
        <v/>
      </c>
    </row>
    <row r="9" spans="1:30" x14ac:dyDescent="0.2">
      <c r="A9" s="18">
        <f t="shared" ca="1" si="0"/>
        <v>4</v>
      </c>
      <c r="B9" s="38" t="str">
        <f>IF(Info!B9="Atlar şu ýeri","",Info!B9)</f>
        <v>Atabaýewa Ogulaý</v>
      </c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20"/>
      <c r="AB9" s="21" t="str">
        <f t="shared" si="1"/>
        <v/>
      </c>
      <c r="AC9" s="22" t="str">
        <f t="shared" si="2"/>
        <v/>
      </c>
      <c r="AD9" s="23" t="str">
        <f>IF(AC9="","","   "&amp;INDEX(Results!$W$6:$W$18,MATCH(AC9,Results!$V$6:$V$18,1)))</f>
        <v/>
      </c>
    </row>
    <row r="10" spans="1:30" x14ac:dyDescent="0.2">
      <c r="A10" s="18">
        <f t="shared" ca="1" si="0"/>
        <v>5</v>
      </c>
      <c r="B10" s="38" t="str">
        <f>IF(Info!B10="Atlar şu ýeri","",Info!B10)</f>
        <v>Atanazarow Meýlis</v>
      </c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20"/>
      <c r="AB10" s="21" t="str">
        <f t="shared" si="1"/>
        <v/>
      </c>
      <c r="AC10" s="22" t="str">
        <f t="shared" si="2"/>
        <v/>
      </c>
      <c r="AD10" s="23" t="str">
        <f>IF(AC10="","","   "&amp;INDEX(Results!$W$6:$W$18,MATCH(AC10,Results!$V$6:$V$18,1)))</f>
        <v/>
      </c>
    </row>
    <row r="11" spans="1:30" x14ac:dyDescent="0.2">
      <c r="A11" s="18">
        <f t="shared" ca="1" si="0"/>
        <v>6</v>
      </c>
      <c r="B11" s="38" t="str">
        <f>IF(Info!B11="Atlar şu ýeri","",Info!B11)</f>
        <v>Babajanowa Aýlar</v>
      </c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20"/>
      <c r="AB11" s="21" t="str">
        <f t="shared" si="1"/>
        <v/>
      </c>
      <c r="AC11" s="22" t="str">
        <f t="shared" si="2"/>
        <v/>
      </c>
      <c r="AD11" s="23" t="str">
        <f>IF(AC11="","","   "&amp;INDEX(Results!$W$6:$W$18,MATCH(AC11,Results!$V$6:$V$18,1)))</f>
        <v/>
      </c>
    </row>
    <row r="12" spans="1:30" x14ac:dyDescent="0.2">
      <c r="A12" s="18">
        <f t="shared" ca="1" si="0"/>
        <v>7</v>
      </c>
      <c r="B12" s="38" t="str">
        <f>IF(Info!B12="Atlar şu ýeri","",Info!B12)</f>
        <v>Babajanowa Selbi</v>
      </c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20"/>
      <c r="AB12" s="21" t="str">
        <f t="shared" si="1"/>
        <v/>
      </c>
      <c r="AC12" s="22" t="str">
        <f t="shared" si="2"/>
        <v/>
      </c>
      <c r="AD12" s="23" t="str">
        <f>IF(AC12="","","   "&amp;INDEX(Results!$W$6:$W$18,MATCH(AC12,Results!$V$6:$V$18,1)))</f>
        <v/>
      </c>
    </row>
    <row r="13" spans="1:30" x14ac:dyDescent="0.2">
      <c r="A13" s="18">
        <f t="shared" ca="1" si="0"/>
        <v>8</v>
      </c>
      <c r="B13" s="38" t="str">
        <f>IF(Info!B13="Atlar şu ýeri","",Info!B13)</f>
        <v>Ataýew Nurgeldi</v>
      </c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20"/>
      <c r="AB13" s="21" t="str">
        <f t="shared" si="1"/>
        <v/>
      </c>
      <c r="AC13" s="22" t="str">
        <f t="shared" si="2"/>
        <v/>
      </c>
      <c r="AD13" s="23" t="str">
        <f>IF(AC13="","","   "&amp;INDEX(Results!$W$6:$W$18,MATCH(AC13,Results!$V$6:$V$18,1)))</f>
        <v/>
      </c>
    </row>
    <row r="14" spans="1:30" x14ac:dyDescent="0.2">
      <c r="A14" s="18">
        <f t="shared" ca="1" si="0"/>
        <v>9</v>
      </c>
      <c r="B14" s="38" t="str">
        <f>IF(Info!B14="Atlar şu ýeri","",Info!B14)</f>
        <v>Batyrow Arafat</v>
      </c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20"/>
      <c r="AB14" s="21" t="str">
        <f t="shared" si="1"/>
        <v/>
      </c>
      <c r="AC14" s="22" t="str">
        <f t="shared" si="2"/>
        <v/>
      </c>
      <c r="AD14" s="23" t="str">
        <f>IF(AC14="","","   "&amp;INDEX(Results!$W$6:$W$18,MATCH(AC14,Results!$V$6:$V$18,1)))</f>
        <v/>
      </c>
    </row>
    <row r="15" spans="1:30" x14ac:dyDescent="0.2">
      <c r="A15" s="18">
        <f t="shared" ca="1" si="0"/>
        <v>10</v>
      </c>
      <c r="B15" s="38" t="str">
        <f>IF(Info!B15="Atlar şu ýeri","",Info!B15)</f>
        <v>Çaryýew Kemal</v>
      </c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20"/>
      <c r="AB15" s="21" t="str">
        <f t="shared" si="1"/>
        <v/>
      </c>
      <c r="AC15" s="22" t="str">
        <f t="shared" si="2"/>
        <v/>
      </c>
      <c r="AD15" s="23" t="str">
        <f>IF(AC15="","","   "&amp;INDEX(Results!$W$6:$W$18,MATCH(AC15,Results!$V$6:$V$18,1)))</f>
        <v/>
      </c>
    </row>
    <row r="16" spans="1:30" x14ac:dyDescent="0.2">
      <c r="A16" s="18">
        <f t="shared" ca="1" si="0"/>
        <v>11</v>
      </c>
      <c r="B16" s="38" t="str">
        <f>IF(Info!B16="Atlar şu ýeri","",Info!B16)</f>
        <v>Gurbanow Mekanmyrat</v>
      </c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20"/>
      <c r="AB16" s="21" t="str">
        <f t="shared" si="1"/>
        <v/>
      </c>
      <c r="AC16" s="22" t="str">
        <f t="shared" si="2"/>
        <v/>
      </c>
      <c r="AD16" s="23" t="str">
        <f>IF(AC16="","","   "&amp;INDEX(Results!$W$6:$W$18,MATCH(AC16,Results!$V$6:$V$18,1)))</f>
        <v/>
      </c>
    </row>
    <row r="17" spans="1:30" x14ac:dyDescent="0.2">
      <c r="A17" s="18">
        <f t="shared" ca="1" si="0"/>
        <v>12</v>
      </c>
      <c r="B17" s="38" t="str">
        <f>IF(Info!B17="Atlar şu ýeri","",Info!B17)</f>
        <v>Hojamuhammedow Guwanç</v>
      </c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20"/>
      <c r="AB17" s="21" t="str">
        <f t="shared" si="1"/>
        <v/>
      </c>
      <c r="AC17" s="22" t="str">
        <f t="shared" si="2"/>
        <v/>
      </c>
      <c r="AD17" s="23" t="str">
        <f>IF(AC17="","","   "&amp;INDEX(Results!$W$6:$W$18,MATCH(AC17,Results!$V$6:$V$18,1)))</f>
        <v/>
      </c>
    </row>
    <row r="18" spans="1:30" x14ac:dyDescent="0.2">
      <c r="A18" s="18">
        <f t="shared" ca="1" si="0"/>
        <v>13</v>
      </c>
      <c r="B18" s="38" t="str">
        <f>IF(Info!B18="Atlar şu ýeri","",Info!B18)</f>
        <v xml:space="preserve">Hojamämmedow  </v>
      </c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20"/>
      <c r="AB18" s="21" t="str">
        <f t="shared" si="1"/>
        <v/>
      </c>
      <c r="AC18" s="22" t="str">
        <f t="shared" si="2"/>
        <v/>
      </c>
      <c r="AD18" s="23" t="str">
        <f>IF(AC18="","","   "&amp;INDEX(Results!$W$6:$W$18,MATCH(AC18,Results!$V$6:$V$18,1)))</f>
        <v/>
      </c>
    </row>
    <row r="19" spans="1:30" x14ac:dyDescent="0.2">
      <c r="A19" s="18">
        <f t="shared" ca="1" si="0"/>
        <v>14</v>
      </c>
      <c r="B19" s="38" t="str">
        <f>IF(Info!B19="Atlar şu ýeri","",Info!B19)</f>
        <v>Hanowa Gülälek</v>
      </c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20"/>
      <c r="AB19" s="21" t="str">
        <f t="shared" si="1"/>
        <v/>
      </c>
      <c r="AC19" s="22" t="str">
        <f t="shared" si="2"/>
        <v/>
      </c>
      <c r="AD19" s="23" t="str">
        <f>IF(AC19="","","   "&amp;INDEX(Results!$W$6:$W$18,MATCH(AC19,Results!$V$6:$V$18,1)))</f>
        <v/>
      </c>
    </row>
    <row r="20" spans="1:30" x14ac:dyDescent="0.2">
      <c r="A20" s="18">
        <f t="shared" ca="1" si="0"/>
        <v>15</v>
      </c>
      <c r="B20" s="38" t="str">
        <f>IF(Info!B20="Atlar şu ýeri","",Info!B20)</f>
        <v>Husainow Serdar</v>
      </c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20"/>
      <c r="AB20" s="21" t="str">
        <f t="shared" si="1"/>
        <v/>
      </c>
      <c r="AC20" s="22" t="str">
        <f t="shared" si="2"/>
        <v/>
      </c>
      <c r="AD20" s="23" t="str">
        <f>IF(AC20="","","   "&amp;INDEX(Results!$W$6:$W$18,MATCH(AC20,Results!$V$6:$V$18,1)))</f>
        <v/>
      </c>
    </row>
    <row r="21" spans="1:30" x14ac:dyDescent="0.2">
      <c r="A21" s="18">
        <f t="shared" ca="1" si="0"/>
        <v>16</v>
      </c>
      <c r="B21" s="38" t="str">
        <f>IF(Info!B21="Atlar şu ýeri","",Info!B21)</f>
        <v>Orunowa Täçbibi</v>
      </c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20"/>
      <c r="AB21" s="21" t="str">
        <f t="shared" si="1"/>
        <v/>
      </c>
      <c r="AC21" s="22" t="str">
        <f t="shared" si="2"/>
        <v/>
      </c>
      <c r="AD21" s="23" t="str">
        <f>IF(AC21="","","   "&amp;INDEX(Results!$W$6:$W$18,MATCH(AC21,Results!$V$6:$V$18,1)))</f>
        <v/>
      </c>
    </row>
    <row r="22" spans="1:30" x14ac:dyDescent="0.2">
      <c r="A22" s="18">
        <f t="shared" ca="1" si="0"/>
        <v>17</v>
      </c>
      <c r="B22" s="38" t="str">
        <f>IF(Info!B22="Atlar şu ýeri","",Info!B22)</f>
        <v>Ilýasow Älem</v>
      </c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20"/>
      <c r="AB22" s="21" t="str">
        <f t="shared" si="1"/>
        <v/>
      </c>
      <c r="AC22" s="22" t="str">
        <f t="shared" si="2"/>
        <v/>
      </c>
      <c r="AD22" s="23" t="str">
        <f>IF(AC22="","","   "&amp;INDEX(Results!$W$6:$W$18,MATCH(AC22,Results!$V$6:$V$18,1)))</f>
        <v/>
      </c>
    </row>
    <row r="23" spans="1:30" x14ac:dyDescent="0.2">
      <c r="A23" s="18">
        <f t="shared" ca="1" si="0"/>
        <v>18</v>
      </c>
      <c r="B23" s="38" t="str">
        <f>IF(Info!B23="Atlar şu ýeri","",Info!B23)</f>
        <v>Karabaýew Begli</v>
      </c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20"/>
      <c r="AB23" s="21" t="str">
        <f t="shared" si="1"/>
        <v/>
      </c>
      <c r="AC23" s="22" t="str">
        <f t="shared" si="2"/>
        <v/>
      </c>
      <c r="AD23" s="23" t="str">
        <f>IF(AC23="","","   "&amp;INDEX(Results!$W$6:$W$18,MATCH(AC23,Results!$V$6:$V$18,1)))</f>
        <v/>
      </c>
    </row>
    <row r="24" spans="1:30" x14ac:dyDescent="0.2">
      <c r="A24" s="18">
        <f t="shared" ca="1" si="0"/>
        <v>19</v>
      </c>
      <c r="B24" s="38" t="str">
        <f>IF(Info!B24="Atlar şu ýeri","",Info!B24)</f>
        <v>Kurbanow Wekil</v>
      </c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20"/>
      <c r="AB24" s="21" t="str">
        <f t="shared" si="1"/>
        <v/>
      </c>
      <c r="AC24" s="22" t="str">
        <f t="shared" si="2"/>
        <v/>
      </c>
      <c r="AD24" s="23" t="str">
        <f>IF(AC24="","","   "&amp;INDEX(Results!$W$6:$W$18,MATCH(AC24,Results!$V$6:$V$18,1)))</f>
        <v/>
      </c>
    </row>
    <row r="25" spans="1:30" x14ac:dyDescent="0.2">
      <c r="A25" s="18">
        <f t="shared" ca="1" si="0"/>
        <v>20</v>
      </c>
      <c r="B25" s="38" t="str">
        <f>IF(Info!B25="Atlar şu ýeri","",Info!B25)</f>
        <v>Madraimow Seidjan</v>
      </c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20"/>
      <c r="AB25" s="21" t="str">
        <f t="shared" si="1"/>
        <v/>
      </c>
      <c r="AC25" s="22" t="str">
        <f t="shared" si="2"/>
        <v/>
      </c>
      <c r="AD25" s="23" t="str">
        <f>IF(AC25="","","   "&amp;INDEX(Results!$W$6:$W$18,MATCH(AC25,Results!$V$6:$V$18,1)))</f>
        <v/>
      </c>
    </row>
    <row r="26" spans="1:30" x14ac:dyDescent="0.2">
      <c r="A26" s="18">
        <f t="shared" ca="1" si="0"/>
        <v>21</v>
      </c>
      <c r="B26" s="38" t="str">
        <f>IF(Info!B26="Atlar şu ýeri","",Info!B26)</f>
        <v>Matmuradowa Gulnur</v>
      </c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20"/>
      <c r="AB26" s="21" t="str">
        <f t="shared" si="1"/>
        <v/>
      </c>
      <c r="AC26" s="22" t="str">
        <f t="shared" si="2"/>
        <v/>
      </c>
      <c r="AD26" s="23" t="str">
        <f>IF(AC26="","","   "&amp;INDEX(Results!$W$6:$W$18,MATCH(AC26,Results!$V$6:$V$18,1)))</f>
        <v/>
      </c>
    </row>
    <row r="27" spans="1:30" x14ac:dyDescent="0.2">
      <c r="A27" s="18">
        <f t="shared" ca="1" si="0"/>
        <v>22</v>
      </c>
      <c r="B27" s="38" t="str">
        <f>IF(Info!B27="Atlar şu ýeri","",Info!B27)</f>
        <v>Myradowa Aýjahan</v>
      </c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20"/>
      <c r="AB27" s="21" t="str">
        <f t="shared" si="1"/>
        <v/>
      </c>
      <c r="AC27" s="22" t="str">
        <f t="shared" si="2"/>
        <v/>
      </c>
      <c r="AD27" s="23" t="str">
        <f>IF(AC27="","","   "&amp;INDEX(Results!$W$6:$W$18,MATCH(AC27,Results!$V$6:$V$18,1)))</f>
        <v/>
      </c>
    </row>
    <row r="28" spans="1:30" x14ac:dyDescent="0.2">
      <c r="A28" s="18">
        <f t="shared" ca="1" si="0"/>
        <v>23</v>
      </c>
      <c r="B28" s="38" t="str">
        <f>IF(Info!B28="Atlar şu ýeri","",Info!B28)</f>
        <v>Osmanowa Ýyldyz</v>
      </c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20"/>
      <c r="AB28" s="21" t="str">
        <f t="shared" si="1"/>
        <v/>
      </c>
      <c r="AC28" s="22" t="str">
        <f t="shared" si="2"/>
        <v/>
      </c>
      <c r="AD28" s="23" t="str">
        <f>IF(AC28="","","   "&amp;INDEX(Results!$W$6:$W$18,MATCH(AC28,Results!$V$6:$V$18,1)))</f>
        <v/>
      </c>
    </row>
    <row r="29" spans="1:30" x14ac:dyDescent="0.2">
      <c r="A29" s="18">
        <f t="shared" ca="1" si="0"/>
        <v>24</v>
      </c>
      <c r="B29" s="38" t="str">
        <f>IF(Info!B29="Atlar şu ýeri","",Info!B29)</f>
        <v>Orazowa Aýnur</v>
      </c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20"/>
      <c r="AB29" s="21" t="str">
        <f t="shared" si="1"/>
        <v/>
      </c>
      <c r="AC29" s="22" t="str">
        <f t="shared" si="2"/>
        <v/>
      </c>
      <c r="AD29" s="23" t="str">
        <f>IF(AC29="","","   "&amp;INDEX(Results!$W$6:$W$18,MATCH(AC29,Results!$V$6:$V$18,1)))</f>
        <v/>
      </c>
    </row>
    <row r="30" spans="1:30" x14ac:dyDescent="0.2">
      <c r="A30" s="18">
        <f t="shared" ca="1" si="0"/>
        <v>25</v>
      </c>
      <c r="B30" s="38" t="str">
        <f>IF(Info!B30="Atlar şu ýeri","",Info!B30)</f>
        <v>Orunowa Aýjemal</v>
      </c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20"/>
      <c r="AB30" s="21" t="str">
        <f t="shared" si="1"/>
        <v/>
      </c>
      <c r="AC30" s="22" t="str">
        <f t="shared" si="2"/>
        <v/>
      </c>
      <c r="AD30" s="23" t="str">
        <f>IF(AC30="","","   "&amp;INDEX(Results!$W$6:$W$18,MATCH(AC30,Results!$V$6:$V$18,1)))</f>
        <v/>
      </c>
    </row>
    <row r="31" spans="1:30" x14ac:dyDescent="0.2">
      <c r="A31" s="18">
        <f t="shared" ca="1" si="0"/>
        <v>26</v>
      </c>
      <c r="B31" s="38" t="str">
        <f>IF(Info!B31="Atlar şu ýeri","",Info!B31)</f>
        <v>Öwezow Döwlet</v>
      </c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20"/>
      <c r="AB31" s="21" t="str">
        <f t="shared" si="1"/>
        <v/>
      </c>
      <c r="AC31" s="22" t="str">
        <f t="shared" si="2"/>
        <v/>
      </c>
      <c r="AD31" s="23" t="str">
        <f>IF(AC31="","","   "&amp;INDEX(Results!$W$6:$W$18,MATCH(AC31,Results!$V$6:$V$18,1)))</f>
        <v/>
      </c>
    </row>
    <row r="32" spans="1:30" x14ac:dyDescent="0.2">
      <c r="A32" s="18">
        <f t="shared" ca="1" si="0"/>
        <v>27</v>
      </c>
      <c r="B32" s="38" t="str">
        <f>IF(Info!B32="Atlar şu ýeri","",Info!B32)</f>
        <v>Piriýew Aýhan</v>
      </c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20"/>
      <c r="AB32" s="21" t="str">
        <f t="shared" si="1"/>
        <v/>
      </c>
      <c r="AC32" s="22" t="str">
        <f t="shared" si="2"/>
        <v/>
      </c>
      <c r="AD32" s="23" t="str">
        <f>IF(AC32="","","   "&amp;INDEX(Results!$W$6:$W$18,MATCH(AC32,Results!$V$6:$V$18,1)))</f>
        <v/>
      </c>
    </row>
    <row r="33" spans="1:32" x14ac:dyDescent="0.2">
      <c r="A33" s="18">
        <f t="shared" ca="1" si="0"/>
        <v>28</v>
      </c>
      <c r="B33" s="38" t="str">
        <f>IF(Info!B33="Atlar şu ýeri","",Info!B33)</f>
        <v>Taganow Sanjar</v>
      </c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20"/>
      <c r="AB33" s="21" t="str">
        <f t="shared" si="1"/>
        <v/>
      </c>
      <c r="AC33" s="22" t="str">
        <f t="shared" si="2"/>
        <v/>
      </c>
      <c r="AD33" s="23" t="str">
        <f>IF(AC33="","","   "&amp;INDEX(Results!$W$6:$W$18,MATCH(AC33,Results!$V$6:$V$18,1)))</f>
        <v/>
      </c>
    </row>
    <row r="34" spans="1:32" x14ac:dyDescent="0.2">
      <c r="A34" s="18">
        <f t="shared" ca="1" si="0"/>
        <v>29</v>
      </c>
      <c r="B34" s="38" t="str">
        <f>IF(Info!B34="Atlar şu ýeri","",Info!B34)</f>
        <v>Weliýew Öwez</v>
      </c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20"/>
      <c r="AB34" s="21" t="str">
        <f t="shared" si="1"/>
        <v/>
      </c>
      <c r="AC34" s="22" t="str">
        <f t="shared" si="2"/>
        <v/>
      </c>
      <c r="AD34" s="23" t="str">
        <f>IF(AC34="","","   "&amp;INDEX(Results!$W$6:$W$18,MATCH(AC34,Results!$V$6:$V$18,1)))</f>
        <v/>
      </c>
    </row>
    <row r="35" spans="1:32" x14ac:dyDescent="0.2">
      <c r="A35" s="18">
        <f t="shared" ca="1" si="0"/>
        <v>30</v>
      </c>
      <c r="B35" s="38" t="str">
        <f>IF(Info!B35="Atlar şu ýeri","",Info!B35)</f>
        <v>Ýagşybaýew Muhammet</v>
      </c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20"/>
      <c r="AB35" s="21" t="str">
        <f t="shared" si="1"/>
        <v/>
      </c>
      <c r="AC35" s="22" t="str">
        <f t="shared" si="2"/>
        <v/>
      </c>
      <c r="AD35" s="23" t="str">
        <f>IF(AC35="","","   "&amp;INDEX(Results!$W$6:$W$18,MATCH(AC35,Results!$V$6:$V$18,1)))</f>
        <v/>
      </c>
    </row>
    <row r="36" spans="1:32" x14ac:dyDescent="0.2">
      <c r="A36" s="18">
        <f t="shared" ca="1" si="0"/>
        <v>31</v>
      </c>
      <c r="B36" s="38" t="str">
        <f>IF(Info!B36="Atlar şu ýeri","",Info!B36)</f>
        <v>Ýazberdiýewa Söýli</v>
      </c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20"/>
      <c r="AB36" s="21" t="str">
        <f t="shared" si="1"/>
        <v/>
      </c>
      <c r="AC36" s="22" t="str">
        <f t="shared" si="2"/>
        <v/>
      </c>
      <c r="AD36" s="23" t="str">
        <f>IF(AC36="","","   "&amp;INDEX(Results!$W$6:$W$18,MATCH(AC36,Results!$V$6:$V$18,1)))</f>
        <v/>
      </c>
    </row>
    <row r="37" spans="1:32" x14ac:dyDescent="0.2">
      <c r="A37" s="18">
        <f t="shared" ca="1" si="0"/>
        <v>32</v>
      </c>
      <c r="B37" s="38" t="str">
        <f>IF(Info!B37="Atlar şu ýeri","",Info!B37)</f>
        <v>Ýazyýewa Meňli</v>
      </c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20"/>
      <c r="AB37" s="21" t="str">
        <f t="shared" si="1"/>
        <v/>
      </c>
      <c r="AC37" s="22" t="str">
        <f t="shared" si="2"/>
        <v/>
      </c>
      <c r="AD37" s="23" t="str">
        <f>IF(AC37="","","   "&amp;INDEX(Results!$W$6:$W$18,MATCH(AC37,Results!$V$6:$V$18,1)))</f>
        <v/>
      </c>
    </row>
    <row r="38" spans="1:32" x14ac:dyDescent="0.2">
      <c r="A38" s="18">
        <f t="shared" ca="1" si="0"/>
        <v>33</v>
      </c>
      <c r="B38" s="38" t="str">
        <f>IF(Info!B38="Atlar şu ýeri","",Info!B38)</f>
        <v>Ýunusow Ýunus</v>
      </c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20"/>
      <c r="AB38" s="21" t="str">
        <f t="shared" si="1"/>
        <v/>
      </c>
      <c r="AC38" s="22" t="str">
        <f t="shared" si="2"/>
        <v/>
      </c>
      <c r="AD38" s="23" t="str">
        <f>IF(AC38="","","   "&amp;INDEX(Results!$W$6:$W$18,MATCH(AC38,Results!$V$6:$V$18,1)))</f>
        <v/>
      </c>
    </row>
    <row r="39" spans="1:32" x14ac:dyDescent="0.2">
      <c r="A39" s="18">
        <f t="shared" ca="1" si="0"/>
        <v>34</v>
      </c>
      <c r="B39" s="38" t="str">
        <f>IF(Info!B39="Atlar şu ýeri","",Info!B39)</f>
        <v>Ýusupowa  Jahan</v>
      </c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20"/>
      <c r="AB39" s="21" t="str">
        <f t="shared" si="1"/>
        <v/>
      </c>
      <c r="AC39" s="22" t="str">
        <f t="shared" si="2"/>
        <v/>
      </c>
      <c r="AD39" s="23" t="str">
        <f>IF(AC39="","","   "&amp;INDEX(Results!$W$6:$W$18,MATCH(AC39,Results!$V$6:$V$18,1)))</f>
        <v/>
      </c>
    </row>
    <row r="40" spans="1:32" x14ac:dyDescent="0.2">
      <c r="A40" s="18">
        <f t="shared" ca="1" si="0"/>
        <v>35</v>
      </c>
      <c r="B40" s="38" t="str">
        <f>IF(Info!B40="Atlar şu ýeri","",Info!B40)</f>
        <v/>
      </c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20"/>
      <c r="AB40" s="21" t="str">
        <f t="shared" si="1"/>
        <v/>
      </c>
      <c r="AC40" s="22" t="str">
        <f t="shared" si="2"/>
        <v/>
      </c>
      <c r="AD40" s="23" t="str">
        <f>IF(AC40="","","   "&amp;INDEX(Results!$W$6:$W$18,MATCH(AC40,Results!$V$6:$V$18,1)))</f>
        <v/>
      </c>
    </row>
    <row r="41" spans="1:32" x14ac:dyDescent="0.2">
      <c r="A41" s="18">
        <f t="shared" ca="1" si="0"/>
        <v>36</v>
      </c>
      <c r="B41" s="38" t="str">
        <f>IF(Info!B41="Atlar şu ýeri","",Info!B41)</f>
        <v/>
      </c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20"/>
      <c r="AB41" s="21" t="str">
        <f t="shared" si="1"/>
        <v/>
      </c>
      <c r="AC41" s="22" t="str">
        <f t="shared" si="2"/>
        <v/>
      </c>
      <c r="AD41" s="23" t="str">
        <f>IF(AC41="","","   "&amp;INDEX(Results!$W$6:$W$18,MATCH(AC41,Results!$V$6:$V$18,1)))</f>
        <v/>
      </c>
    </row>
    <row r="42" spans="1:32" x14ac:dyDescent="0.2">
      <c r="A42" s="18">
        <f t="shared" ca="1" si="0"/>
        <v>37</v>
      </c>
      <c r="B42" s="38" t="str">
        <f>IF(Info!B42="Atlar şu ýeri","",Info!B42)</f>
        <v/>
      </c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20"/>
      <c r="AB42" s="21" t="str">
        <f t="shared" si="1"/>
        <v/>
      </c>
      <c r="AC42" s="22" t="str">
        <f t="shared" si="2"/>
        <v/>
      </c>
      <c r="AD42" s="23" t="str">
        <f>IF(AC42="","","   "&amp;INDEX(Results!$W$6:$W$18,MATCH(AC42,Results!$V$6:$V$18,1)))</f>
        <v/>
      </c>
    </row>
    <row r="43" spans="1:32" x14ac:dyDescent="0.2">
      <c r="A43" s="18">
        <f t="shared" ca="1" si="0"/>
        <v>38</v>
      </c>
      <c r="B43" s="38" t="str">
        <f>IF(Info!B43="Atlar şu ýeri","",Info!B43)</f>
        <v/>
      </c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20"/>
      <c r="AB43" s="21" t="str">
        <f t="shared" si="1"/>
        <v/>
      </c>
      <c r="AC43" s="22" t="str">
        <f t="shared" si="2"/>
        <v/>
      </c>
      <c r="AD43" s="23" t="str">
        <f>IF(AC43="","","   "&amp;INDEX(Results!$W$6:$W$18,MATCH(AC43,Results!$V$6:$V$18,1)))</f>
        <v/>
      </c>
    </row>
    <row r="44" spans="1:32" x14ac:dyDescent="0.2">
      <c r="A44" s="18">
        <f t="shared" ca="1" si="0"/>
        <v>39</v>
      </c>
      <c r="B44" s="38" t="str">
        <f>IF(Info!B44="Atlar şu ýeri","",Info!B44)</f>
        <v/>
      </c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20"/>
      <c r="AB44" s="21" t="str">
        <f t="shared" si="1"/>
        <v/>
      </c>
      <c r="AC44" s="22" t="str">
        <f t="shared" si="2"/>
        <v/>
      </c>
      <c r="AD44" s="23" t="str">
        <f>IF(AC44="","","   "&amp;INDEX(Results!$W$6:$W$18,MATCH(AC44,Results!$V$6:$V$18,1)))</f>
        <v/>
      </c>
    </row>
    <row r="45" spans="1:32" x14ac:dyDescent="0.2">
      <c r="A45" s="18">
        <f t="shared" ca="1" si="0"/>
        <v>40</v>
      </c>
      <c r="B45" s="38" t="str">
        <f>IF(Info!B45="Atlar şu ýeri","",Info!B45)</f>
        <v/>
      </c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20"/>
      <c r="AB45" s="21" t="str">
        <f t="shared" si="1"/>
        <v/>
      </c>
      <c r="AC45" s="22" t="str">
        <f t="shared" si="2"/>
        <v/>
      </c>
      <c r="AD45" s="23" t="str">
        <f>IF(AC45="","","   "&amp;INDEX(Results!$W$6:$W$18,MATCH(AC45,Results!$V$6:$V$18,1)))</f>
        <v/>
      </c>
    </row>
    <row r="46" spans="1:32" x14ac:dyDescent="0.2">
      <c r="A46" s="24" t="s">
        <v>0</v>
      </c>
      <c r="B46" s="25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96">
        <v>1</v>
      </c>
      <c r="AA46" s="27"/>
      <c r="AB46" s="28"/>
      <c r="AC46" s="29"/>
      <c r="AD46" s="30"/>
    </row>
    <row r="47" spans="1:32" x14ac:dyDescent="0.2">
      <c r="A47" s="2"/>
      <c r="B47" s="31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AA47" s="27"/>
      <c r="AB47" s="33" t="s">
        <v>155</v>
      </c>
      <c r="AC47" s="34" t="e">
        <f>AVERAGE(AC6:AC46)</f>
        <v>#DIV/0!</v>
      </c>
      <c r="AD47" s="35" t="e">
        <f>IF(AC47="","",INDEX(Results!$W$6:$W$18,MATCH(AC47,Results!$V$6:$V$18,1)))</f>
        <v>#DIV/0!</v>
      </c>
      <c r="AF47" s="36"/>
    </row>
    <row r="48" spans="1:32" x14ac:dyDescent="0.2">
      <c r="A48" s="2"/>
      <c r="B48" s="31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27"/>
      <c r="AB48" s="90"/>
      <c r="AC48" s="91"/>
      <c r="AD48" s="92"/>
      <c r="AF48" s="36"/>
    </row>
    <row r="49" spans="1:30" x14ac:dyDescent="0.2">
      <c r="A49" s="2"/>
      <c r="B49" s="37"/>
      <c r="C49" s="32"/>
      <c r="D49" s="32"/>
      <c r="E49" s="32"/>
      <c r="F49" s="32"/>
      <c r="G49" s="32"/>
      <c r="H49" s="32"/>
      <c r="I49" s="93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27"/>
      <c r="AB49" s="2"/>
      <c r="AC49" s="2"/>
      <c r="AD49" s="2"/>
    </row>
  </sheetData>
  <mergeCells count="4">
    <mergeCell ref="AB3:AB4"/>
    <mergeCell ref="AC3:AC4"/>
    <mergeCell ref="AD3:AD4"/>
    <mergeCell ref="C1:T1"/>
  </mergeCell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/>
  <headerFooter alignWithMargins="0"/>
  <drawing r:id="rId1"/>
  <legacyDrawing r:id="rId2"/>
  <controls>
    <mc:AlternateContent xmlns:mc="http://schemas.openxmlformats.org/markup-compatibility/2006">
      <mc:Choice Requires="x14">
        <control shapeId="5122" r:id="rId3" name="CommandButton2">
          <controlPr defaultSize="0" autoLine="0" r:id="rId4">
            <anchor moveWithCells="1">
              <from>
                <xdr:col>30</xdr:col>
                <xdr:colOff>161925</xdr:colOff>
                <xdr:row>2</xdr:row>
                <xdr:rowOff>0</xdr:rowOff>
              </from>
              <to>
                <xdr:col>31</xdr:col>
                <xdr:colOff>866775</xdr:colOff>
                <xdr:row>3</xdr:row>
                <xdr:rowOff>133350</xdr:rowOff>
              </to>
            </anchor>
          </controlPr>
        </control>
      </mc:Choice>
      <mc:Fallback>
        <control shapeId="5122" r:id="rId3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F49"/>
  <sheetViews>
    <sheetView workbookViewId="0">
      <selection sqref="A1:AL50"/>
    </sheetView>
  </sheetViews>
  <sheetFormatPr defaultRowHeight="12.75" x14ac:dyDescent="0.2"/>
  <cols>
    <col min="1" max="1" width="3.7109375" style="1" customWidth="1"/>
    <col min="2" max="2" width="37.42578125" style="1" bestFit="1" customWidth="1"/>
    <col min="3" max="16" width="7.140625" style="1" customWidth="1"/>
    <col min="17" max="17" width="1.42578125" style="1" customWidth="1"/>
    <col min="18" max="19" width="7.5703125" style="1" customWidth="1"/>
    <col min="20" max="20" width="6.85546875" style="1" customWidth="1"/>
    <col min="21" max="21" width="5.28515625" style="1" customWidth="1"/>
    <col min="22" max="22" width="16.7109375" style="1" customWidth="1"/>
    <col min="23" max="16384" width="9.140625" style="1"/>
  </cols>
  <sheetData>
    <row r="1" spans="1:30" ht="19.5" x14ac:dyDescent="0.3">
      <c r="A1" s="2"/>
      <c r="B1" s="3" t="s">
        <v>56</v>
      </c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87"/>
      <c r="V1" s="87"/>
      <c r="W1" s="4"/>
      <c r="X1" s="4"/>
      <c r="Y1" s="4"/>
      <c r="Z1" s="4"/>
      <c r="AA1" s="4"/>
      <c r="AB1" s="4"/>
      <c r="AC1" s="6"/>
      <c r="AD1" s="6"/>
    </row>
    <row r="2" spans="1:30" ht="15" x14ac:dyDescent="0.25">
      <c r="A2" s="2"/>
      <c r="B2" s="7" t="s">
        <v>5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10"/>
    </row>
    <row r="3" spans="1:30" ht="42" customHeight="1" x14ac:dyDescent="0.25">
      <c r="A3" s="11"/>
      <c r="B3" s="12" t="s">
        <v>14</v>
      </c>
      <c r="C3" s="13" t="s">
        <v>15</v>
      </c>
      <c r="D3" s="13" t="s">
        <v>16</v>
      </c>
      <c r="E3" s="13" t="s">
        <v>17</v>
      </c>
      <c r="F3" s="13" t="s">
        <v>18</v>
      </c>
      <c r="G3" s="13" t="s">
        <v>19</v>
      </c>
      <c r="H3" s="13" t="s">
        <v>20</v>
      </c>
      <c r="I3" s="13" t="s">
        <v>21</v>
      </c>
      <c r="J3" s="13" t="s">
        <v>22</v>
      </c>
      <c r="K3" s="13" t="s">
        <v>23</v>
      </c>
      <c r="L3" s="13" t="s">
        <v>24</v>
      </c>
      <c r="M3" s="13" t="s">
        <v>25</v>
      </c>
      <c r="N3" s="13" t="s">
        <v>26</v>
      </c>
      <c r="O3" s="13" t="s">
        <v>27</v>
      </c>
      <c r="P3" s="13" t="s">
        <v>28</v>
      </c>
      <c r="Q3" s="13" t="s">
        <v>46</v>
      </c>
      <c r="R3" s="13" t="s">
        <v>47</v>
      </c>
      <c r="S3" s="13" t="s">
        <v>48</v>
      </c>
      <c r="T3" s="13" t="s">
        <v>49</v>
      </c>
      <c r="U3" s="13" t="s">
        <v>50</v>
      </c>
      <c r="V3" s="13" t="s">
        <v>51</v>
      </c>
      <c r="W3" s="13" t="s">
        <v>52</v>
      </c>
      <c r="X3" s="13" t="s">
        <v>53</v>
      </c>
      <c r="Y3" s="13" t="s">
        <v>54</v>
      </c>
      <c r="Z3" s="13" t="s">
        <v>55</v>
      </c>
      <c r="AA3" s="14"/>
      <c r="AB3" s="97" t="s">
        <v>29</v>
      </c>
      <c r="AC3" s="98" t="s">
        <v>36</v>
      </c>
      <c r="AD3" s="99" t="s">
        <v>35</v>
      </c>
    </row>
    <row r="4" spans="1:30" x14ac:dyDescent="0.2">
      <c r="A4" s="11"/>
      <c r="B4" s="15" t="s">
        <v>30</v>
      </c>
      <c r="C4" s="16">
        <v>5</v>
      </c>
      <c r="D4" s="16">
        <v>5</v>
      </c>
      <c r="E4" s="16">
        <v>5</v>
      </c>
      <c r="F4" s="16">
        <v>5</v>
      </c>
      <c r="G4" s="16">
        <v>5</v>
      </c>
      <c r="H4" s="16">
        <v>5</v>
      </c>
      <c r="I4" s="16">
        <v>5</v>
      </c>
      <c r="J4" s="16">
        <v>5</v>
      </c>
      <c r="K4" s="16">
        <v>5</v>
      </c>
      <c r="L4" s="16">
        <v>5</v>
      </c>
      <c r="M4" s="16">
        <v>5</v>
      </c>
      <c r="N4" s="16">
        <v>5</v>
      </c>
      <c r="O4" s="16">
        <v>5</v>
      </c>
      <c r="P4" s="16">
        <v>5</v>
      </c>
      <c r="Q4" s="16">
        <v>5</v>
      </c>
      <c r="R4" s="16">
        <v>5</v>
      </c>
      <c r="S4" s="16">
        <v>5</v>
      </c>
      <c r="T4" s="16">
        <v>5</v>
      </c>
      <c r="U4" s="16">
        <v>5</v>
      </c>
      <c r="V4" s="16">
        <v>5</v>
      </c>
      <c r="W4" s="16">
        <v>5</v>
      </c>
      <c r="X4" s="16">
        <v>5</v>
      </c>
      <c r="Y4" s="16">
        <v>5</v>
      </c>
      <c r="Z4" s="16">
        <v>5</v>
      </c>
      <c r="AA4" s="17"/>
      <c r="AB4" s="97"/>
      <c r="AC4" s="97"/>
      <c r="AD4" s="97"/>
    </row>
    <row r="5" spans="1:30" ht="6" customHeight="1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18">
        <f t="shared" ref="A6:A45" ca="1" si="0">OFFSET(A6,-1,0,1,1)+1</f>
        <v>1</v>
      </c>
      <c r="B6" s="38" t="str">
        <f>IF(Info!B6="Atlar şu ýeri","",Info!B6)</f>
        <v>Abdullaýewa Dinara</v>
      </c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20"/>
      <c r="AB6" s="21" t="str">
        <f>IF(SUM(C6:Z6)=0,"",SUMPRODUCT(C6:Z6))</f>
        <v/>
      </c>
      <c r="AC6" s="22" t="str">
        <f>IF(SUM(C6:Z6)=0,"",AB6/(SUMIF(C6:Z6,"&lt;&gt;",$C$4:$Z$4)-SUMIF(C6:Z6,"=E",$C$4:$Z$4)))</f>
        <v/>
      </c>
      <c r="AD6" s="23" t="str">
        <f>IF(AC6="","","   "&amp;INDEX(Results!$W$6:$W$18,MATCH(AC6,Results!$V$6:$V$18,1)))</f>
        <v/>
      </c>
    </row>
    <row r="7" spans="1:30" x14ac:dyDescent="0.2">
      <c r="A7" s="18">
        <f t="shared" ca="1" si="0"/>
        <v>2</v>
      </c>
      <c r="B7" s="38" t="str">
        <f>IF(Info!B7="Atlar şu ýeri","",Info!B7)</f>
        <v>Arslanow Yhlas</v>
      </c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20"/>
      <c r="AB7" s="21" t="str">
        <f t="shared" ref="AB7:AB45" si="1">IF(SUM(C7:Z7)=0,"",SUMPRODUCT(C7:Z7))</f>
        <v/>
      </c>
      <c r="AC7" s="22" t="str">
        <f t="shared" ref="AC7:AC45" si="2">IF(SUM(C7:Z7)=0,"",AB7/(SUMIF(C7:Z7,"&lt;&gt;",$C$4:$Z$4)-SUMIF(C7:Z7,"=E",$C$4:$Z$4)))</f>
        <v/>
      </c>
      <c r="AD7" s="23" t="str">
        <f>IF(AC7="","","   "&amp;INDEX(Results!$W$6:$W$18,MATCH(AC7,Results!$V$6:$V$18,1)))</f>
        <v/>
      </c>
    </row>
    <row r="8" spans="1:30" x14ac:dyDescent="0.2">
      <c r="A8" s="18">
        <f t="shared" ca="1" si="0"/>
        <v>3</v>
      </c>
      <c r="B8" s="38" t="str">
        <f>IF(Info!B8="Atlar şu ýeri","",Info!B8)</f>
        <v>Aşyrowa Maýsa</v>
      </c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20"/>
      <c r="AB8" s="21" t="str">
        <f t="shared" si="1"/>
        <v/>
      </c>
      <c r="AC8" s="22" t="str">
        <f t="shared" si="2"/>
        <v/>
      </c>
      <c r="AD8" s="23" t="str">
        <f>IF(AC8="","","   "&amp;INDEX(Results!$W$6:$W$18,MATCH(AC8,Results!$V$6:$V$18,1)))</f>
        <v/>
      </c>
    </row>
    <row r="9" spans="1:30" x14ac:dyDescent="0.2">
      <c r="A9" s="18">
        <f t="shared" ca="1" si="0"/>
        <v>4</v>
      </c>
      <c r="B9" s="38" t="str">
        <f>IF(Info!B9="Atlar şu ýeri","",Info!B9)</f>
        <v>Atabaýewa Ogulaý</v>
      </c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20"/>
      <c r="AB9" s="21" t="str">
        <f t="shared" si="1"/>
        <v/>
      </c>
      <c r="AC9" s="22" t="str">
        <f t="shared" si="2"/>
        <v/>
      </c>
      <c r="AD9" s="23" t="str">
        <f>IF(AC9="","","   "&amp;INDEX(Results!$W$6:$W$18,MATCH(AC9,Results!$V$6:$V$18,1)))</f>
        <v/>
      </c>
    </row>
    <row r="10" spans="1:30" x14ac:dyDescent="0.2">
      <c r="A10" s="18">
        <f t="shared" ca="1" si="0"/>
        <v>5</v>
      </c>
      <c r="B10" s="38" t="str">
        <f>IF(Info!B10="Atlar şu ýeri","",Info!B10)</f>
        <v>Atanazarow Meýlis</v>
      </c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20"/>
      <c r="AB10" s="21" t="str">
        <f t="shared" si="1"/>
        <v/>
      </c>
      <c r="AC10" s="22" t="str">
        <f t="shared" si="2"/>
        <v/>
      </c>
      <c r="AD10" s="23" t="str">
        <f>IF(AC10="","","   "&amp;INDEX(Results!$W$6:$W$18,MATCH(AC10,Results!$V$6:$V$18,1)))</f>
        <v/>
      </c>
    </row>
    <row r="11" spans="1:30" x14ac:dyDescent="0.2">
      <c r="A11" s="18">
        <f t="shared" ca="1" si="0"/>
        <v>6</v>
      </c>
      <c r="B11" s="38" t="str">
        <f>IF(Info!B11="Atlar şu ýeri","",Info!B11)</f>
        <v>Babajanowa Aýlar</v>
      </c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20"/>
      <c r="AB11" s="21" t="str">
        <f t="shared" si="1"/>
        <v/>
      </c>
      <c r="AC11" s="22" t="str">
        <f t="shared" si="2"/>
        <v/>
      </c>
      <c r="AD11" s="23" t="str">
        <f>IF(AC11="","","   "&amp;INDEX(Results!$W$6:$W$18,MATCH(AC11,Results!$V$6:$V$18,1)))</f>
        <v/>
      </c>
    </row>
    <row r="12" spans="1:30" x14ac:dyDescent="0.2">
      <c r="A12" s="18">
        <f t="shared" ca="1" si="0"/>
        <v>7</v>
      </c>
      <c r="B12" s="38" t="str">
        <f>IF(Info!B12="Atlar şu ýeri","",Info!B12)</f>
        <v>Babajanowa Selbi</v>
      </c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20"/>
      <c r="AB12" s="21" t="str">
        <f t="shared" si="1"/>
        <v/>
      </c>
      <c r="AC12" s="22" t="str">
        <f t="shared" si="2"/>
        <v/>
      </c>
      <c r="AD12" s="23" t="str">
        <f>IF(AC12="","","   "&amp;INDEX(Results!$W$6:$W$18,MATCH(AC12,Results!$V$6:$V$18,1)))</f>
        <v/>
      </c>
    </row>
    <row r="13" spans="1:30" x14ac:dyDescent="0.2">
      <c r="A13" s="18">
        <f t="shared" ca="1" si="0"/>
        <v>8</v>
      </c>
      <c r="B13" s="38" t="str">
        <f>IF(Info!B13="Atlar şu ýeri","",Info!B13)</f>
        <v>Ataýew Nurgeldi</v>
      </c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20"/>
      <c r="AB13" s="21" t="str">
        <f t="shared" si="1"/>
        <v/>
      </c>
      <c r="AC13" s="22" t="str">
        <f t="shared" si="2"/>
        <v/>
      </c>
      <c r="AD13" s="23" t="str">
        <f>IF(AC13="","","   "&amp;INDEX(Results!$W$6:$W$18,MATCH(AC13,Results!$V$6:$V$18,1)))</f>
        <v/>
      </c>
    </row>
    <row r="14" spans="1:30" x14ac:dyDescent="0.2">
      <c r="A14" s="18">
        <f t="shared" ca="1" si="0"/>
        <v>9</v>
      </c>
      <c r="B14" s="38" t="str">
        <f>IF(Info!B14="Atlar şu ýeri","",Info!B14)</f>
        <v>Batyrow Arafat</v>
      </c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20"/>
      <c r="AB14" s="21" t="str">
        <f t="shared" si="1"/>
        <v/>
      </c>
      <c r="AC14" s="22" t="str">
        <f t="shared" si="2"/>
        <v/>
      </c>
      <c r="AD14" s="23" t="str">
        <f>IF(AC14="","","   "&amp;INDEX(Results!$W$6:$W$18,MATCH(AC14,Results!$V$6:$V$18,1)))</f>
        <v/>
      </c>
    </row>
    <row r="15" spans="1:30" x14ac:dyDescent="0.2">
      <c r="A15" s="18">
        <f t="shared" ca="1" si="0"/>
        <v>10</v>
      </c>
      <c r="B15" s="38" t="str">
        <f>IF(Info!B15="Atlar şu ýeri","",Info!B15)</f>
        <v>Çaryýew Kemal</v>
      </c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20"/>
      <c r="AB15" s="21" t="str">
        <f t="shared" si="1"/>
        <v/>
      </c>
      <c r="AC15" s="22" t="str">
        <f t="shared" si="2"/>
        <v/>
      </c>
      <c r="AD15" s="23" t="str">
        <f>IF(AC15="","","   "&amp;INDEX(Results!$W$6:$W$18,MATCH(AC15,Results!$V$6:$V$18,1)))</f>
        <v/>
      </c>
    </row>
    <row r="16" spans="1:30" x14ac:dyDescent="0.2">
      <c r="A16" s="18">
        <f t="shared" ca="1" si="0"/>
        <v>11</v>
      </c>
      <c r="B16" s="38" t="str">
        <f>IF(Info!B16="Atlar şu ýeri","",Info!B16)</f>
        <v>Gurbanow Mekanmyrat</v>
      </c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20"/>
      <c r="AB16" s="21" t="str">
        <f t="shared" si="1"/>
        <v/>
      </c>
      <c r="AC16" s="22" t="str">
        <f t="shared" si="2"/>
        <v/>
      </c>
      <c r="AD16" s="23" t="str">
        <f>IF(AC16="","","   "&amp;INDEX(Results!$W$6:$W$18,MATCH(AC16,Results!$V$6:$V$18,1)))</f>
        <v/>
      </c>
    </row>
    <row r="17" spans="1:30" x14ac:dyDescent="0.2">
      <c r="A17" s="18">
        <f t="shared" ca="1" si="0"/>
        <v>12</v>
      </c>
      <c r="B17" s="38" t="str">
        <f>IF(Info!B17="Atlar şu ýeri","",Info!B17)</f>
        <v>Hojamuhammedow Guwanç</v>
      </c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20"/>
      <c r="AB17" s="21" t="str">
        <f t="shared" si="1"/>
        <v/>
      </c>
      <c r="AC17" s="22" t="str">
        <f t="shared" si="2"/>
        <v/>
      </c>
      <c r="AD17" s="23" t="str">
        <f>IF(AC17="","","   "&amp;INDEX(Results!$W$6:$W$18,MATCH(AC17,Results!$V$6:$V$18,1)))</f>
        <v/>
      </c>
    </row>
    <row r="18" spans="1:30" x14ac:dyDescent="0.2">
      <c r="A18" s="18">
        <f t="shared" ca="1" si="0"/>
        <v>13</v>
      </c>
      <c r="B18" s="38" t="str">
        <f>IF(Info!B18="Atlar şu ýeri","",Info!B18)</f>
        <v xml:space="preserve">Hojamämmedow  </v>
      </c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20"/>
      <c r="AB18" s="21" t="str">
        <f t="shared" si="1"/>
        <v/>
      </c>
      <c r="AC18" s="22" t="str">
        <f t="shared" si="2"/>
        <v/>
      </c>
      <c r="AD18" s="23" t="str">
        <f>IF(AC18="","","   "&amp;INDEX(Results!$W$6:$W$18,MATCH(AC18,Results!$V$6:$V$18,1)))</f>
        <v/>
      </c>
    </row>
    <row r="19" spans="1:30" x14ac:dyDescent="0.2">
      <c r="A19" s="18">
        <f t="shared" ca="1" si="0"/>
        <v>14</v>
      </c>
      <c r="B19" s="38" t="str">
        <f>IF(Info!B19="Atlar şu ýeri","",Info!B19)</f>
        <v>Hanowa Gülälek</v>
      </c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20"/>
      <c r="AB19" s="21" t="str">
        <f t="shared" si="1"/>
        <v/>
      </c>
      <c r="AC19" s="22" t="str">
        <f t="shared" si="2"/>
        <v/>
      </c>
      <c r="AD19" s="23" t="str">
        <f>IF(AC19="","","   "&amp;INDEX(Results!$W$6:$W$18,MATCH(AC19,Results!$V$6:$V$18,1)))</f>
        <v/>
      </c>
    </row>
    <row r="20" spans="1:30" x14ac:dyDescent="0.2">
      <c r="A20" s="18">
        <f t="shared" ca="1" si="0"/>
        <v>15</v>
      </c>
      <c r="B20" s="38" t="str">
        <f>IF(Info!B20="Atlar şu ýeri","",Info!B20)</f>
        <v>Husainow Serdar</v>
      </c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20"/>
      <c r="AB20" s="21" t="str">
        <f t="shared" si="1"/>
        <v/>
      </c>
      <c r="AC20" s="22" t="str">
        <f t="shared" si="2"/>
        <v/>
      </c>
      <c r="AD20" s="23" t="str">
        <f>IF(AC20="","","   "&amp;INDEX(Results!$W$6:$W$18,MATCH(AC20,Results!$V$6:$V$18,1)))</f>
        <v/>
      </c>
    </row>
    <row r="21" spans="1:30" x14ac:dyDescent="0.2">
      <c r="A21" s="18">
        <f t="shared" ca="1" si="0"/>
        <v>16</v>
      </c>
      <c r="B21" s="38" t="str">
        <f>IF(Info!B21="Atlar şu ýeri","",Info!B21)</f>
        <v>Orunowa Täçbibi</v>
      </c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20"/>
      <c r="AB21" s="21" t="str">
        <f t="shared" si="1"/>
        <v/>
      </c>
      <c r="AC21" s="22" t="str">
        <f t="shared" si="2"/>
        <v/>
      </c>
      <c r="AD21" s="23" t="str">
        <f>IF(AC21="","","   "&amp;INDEX(Results!$W$6:$W$18,MATCH(AC21,Results!$V$6:$V$18,1)))</f>
        <v/>
      </c>
    </row>
    <row r="22" spans="1:30" x14ac:dyDescent="0.2">
      <c r="A22" s="18">
        <f t="shared" ca="1" si="0"/>
        <v>17</v>
      </c>
      <c r="B22" s="38" t="str">
        <f>IF(Info!B22="Atlar şu ýeri","",Info!B22)</f>
        <v>Ilýasow Älem</v>
      </c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20"/>
      <c r="AB22" s="21" t="str">
        <f t="shared" si="1"/>
        <v/>
      </c>
      <c r="AC22" s="22" t="str">
        <f t="shared" si="2"/>
        <v/>
      </c>
      <c r="AD22" s="23" t="str">
        <f>IF(AC22="","","   "&amp;INDEX(Results!$W$6:$W$18,MATCH(AC22,Results!$V$6:$V$18,1)))</f>
        <v/>
      </c>
    </row>
    <row r="23" spans="1:30" x14ac:dyDescent="0.2">
      <c r="A23" s="18">
        <f t="shared" ca="1" si="0"/>
        <v>18</v>
      </c>
      <c r="B23" s="38" t="str">
        <f>IF(Info!B23="Atlar şu ýeri","",Info!B23)</f>
        <v>Karabaýew Begli</v>
      </c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20"/>
      <c r="AB23" s="21" t="str">
        <f t="shared" si="1"/>
        <v/>
      </c>
      <c r="AC23" s="22" t="str">
        <f t="shared" si="2"/>
        <v/>
      </c>
      <c r="AD23" s="23" t="str">
        <f>IF(AC23="","","   "&amp;INDEX(Results!$W$6:$W$18,MATCH(AC23,Results!$V$6:$V$18,1)))</f>
        <v/>
      </c>
    </row>
    <row r="24" spans="1:30" x14ac:dyDescent="0.2">
      <c r="A24" s="18">
        <f t="shared" ca="1" si="0"/>
        <v>19</v>
      </c>
      <c r="B24" s="38" t="str">
        <f>IF(Info!B24="Atlar şu ýeri","",Info!B24)</f>
        <v>Kurbanow Wekil</v>
      </c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20"/>
      <c r="AB24" s="21" t="str">
        <f t="shared" si="1"/>
        <v/>
      </c>
      <c r="AC24" s="22" t="str">
        <f t="shared" si="2"/>
        <v/>
      </c>
      <c r="AD24" s="23" t="str">
        <f>IF(AC24="","","   "&amp;INDEX(Results!$W$6:$W$18,MATCH(AC24,Results!$V$6:$V$18,1)))</f>
        <v/>
      </c>
    </row>
    <row r="25" spans="1:30" x14ac:dyDescent="0.2">
      <c r="A25" s="18">
        <f t="shared" ca="1" si="0"/>
        <v>20</v>
      </c>
      <c r="B25" s="38" t="str">
        <f>IF(Info!B25="Atlar şu ýeri","",Info!B25)</f>
        <v>Madraimow Seidjan</v>
      </c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20"/>
      <c r="AB25" s="21" t="str">
        <f t="shared" si="1"/>
        <v/>
      </c>
      <c r="AC25" s="22" t="str">
        <f t="shared" si="2"/>
        <v/>
      </c>
      <c r="AD25" s="23" t="str">
        <f>IF(AC25="","","   "&amp;INDEX(Results!$W$6:$W$18,MATCH(AC25,Results!$V$6:$V$18,1)))</f>
        <v/>
      </c>
    </row>
    <row r="26" spans="1:30" x14ac:dyDescent="0.2">
      <c r="A26" s="18">
        <f t="shared" ca="1" si="0"/>
        <v>21</v>
      </c>
      <c r="B26" s="38" t="str">
        <f>IF(Info!B26="Atlar şu ýeri","",Info!B26)</f>
        <v>Matmuradowa Gulnur</v>
      </c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20"/>
      <c r="AB26" s="21" t="str">
        <f t="shared" si="1"/>
        <v/>
      </c>
      <c r="AC26" s="22" t="str">
        <f t="shared" si="2"/>
        <v/>
      </c>
      <c r="AD26" s="23" t="str">
        <f>IF(AC26="","","   "&amp;INDEX(Results!$W$6:$W$18,MATCH(AC26,Results!$V$6:$V$18,1)))</f>
        <v/>
      </c>
    </row>
    <row r="27" spans="1:30" x14ac:dyDescent="0.2">
      <c r="A27" s="18">
        <f t="shared" ca="1" si="0"/>
        <v>22</v>
      </c>
      <c r="B27" s="38" t="str">
        <f>IF(Info!B27="Atlar şu ýeri","",Info!B27)</f>
        <v>Myradowa Aýjahan</v>
      </c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20"/>
      <c r="AB27" s="21" t="str">
        <f t="shared" si="1"/>
        <v/>
      </c>
      <c r="AC27" s="22" t="str">
        <f t="shared" si="2"/>
        <v/>
      </c>
      <c r="AD27" s="23" t="str">
        <f>IF(AC27="","","   "&amp;INDEX(Results!$W$6:$W$18,MATCH(AC27,Results!$V$6:$V$18,1)))</f>
        <v/>
      </c>
    </row>
    <row r="28" spans="1:30" x14ac:dyDescent="0.2">
      <c r="A28" s="18">
        <f t="shared" ca="1" si="0"/>
        <v>23</v>
      </c>
      <c r="B28" s="38" t="str">
        <f>IF(Info!B28="Atlar şu ýeri","",Info!B28)</f>
        <v>Osmanowa Ýyldyz</v>
      </c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20"/>
      <c r="AB28" s="21" t="str">
        <f t="shared" si="1"/>
        <v/>
      </c>
      <c r="AC28" s="22" t="str">
        <f t="shared" si="2"/>
        <v/>
      </c>
      <c r="AD28" s="23" t="str">
        <f>IF(AC28="","","   "&amp;INDEX(Results!$W$6:$W$18,MATCH(AC28,Results!$V$6:$V$18,1)))</f>
        <v/>
      </c>
    </row>
    <row r="29" spans="1:30" x14ac:dyDescent="0.2">
      <c r="A29" s="18">
        <f t="shared" ca="1" si="0"/>
        <v>24</v>
      </c>
      <c r="B29" s="38" t="str">
        <f>IF(Info!B29="Atlar şu ýeri","",Info!B29)</f>
        <v>Orazowa Aýnur</v>
      </c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20"/>
      <c r="AB29" s="21" t="str">
        <f t="shared" si="1"/>
        <v/>
      </c>
      <c r="AC29" s="22" t="str">
        <f t="shared" si="2"/>
        <v/>
      </c>
      <c r="AD29" s="23" t="str">
        <f>IF(AC29="","","   "&amp;INDEX(Results!$W$6:$W$18,MATCH(AC29,Results!$V$6:$V$18,1)))</f>
        <v/>
      </c>
    </row>
    <row r="30" spans="1:30" x14ac:dyDescent="0.2">
      <c r="A30" s="18">
        <f t="shared" ca="1" si="0"/>
        <v>25</v>
      </c>
      <c r="B30" s="38" t="str">
        <f>IF(Info!B30="Atlar şu ýeri","",Info!B30)</f>
        <v>Orunowa Aýjemal</v>
      </c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20"/>
      <c r="AB30" s="21" t="str">
        <f t="shared" si="1"/>
        <v/>
      </c>
      <c r="AC30" s="22" t="str">
        <f t="shared" si="2"/>
        <v/>
      </c>
      <c r="AD30" s="23" t="str">
        <f>IF(AC30="","","   "&amp;INDEX(Results!$W$6:$W$18,MATCH(AC30,Results!$V$6:$V$18,1)))</f>
        <v/>
      </c>
    </row>
    <row r="31" spans="1:30" x14ac:dyDescent="0.2">
      <c r="A31" s="18">
        <f t="shared" ca="1" si="0"/>
        <v>26</v>
      </c>
      <c r="B31" s="38" t="str">
        <f>IF(Info!B31="Atlar şu ýeri","",Info!B31)</f>
        <v>Öwezow Döwlet</v>
      </c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20"/>
      <c r="AB31" s="21" t="str">
        <f t="shared" si="1"/>
        <v/>
      </c>
      <c r="AC31" s="22" t="str">
        <f t="shared" si="2"/>
        <v/>
      </c>
      <c r="AD31" s="23" t="str">
        <f>IF(AC31="","","   "&amp;INDEX(Results!$W$6:$W$18,MATCH(AC31,Results!$V$6:$V$18,1)))</f>
        <v/>
      </c>
    </row>
    <row r="32" spans="1:30" x14ac:dyDescent="0.2">
      <c r="A32" s="18">
        <f t="shared" ca="1" si="0"/>
        <v>27</v>
      </c>
      <c r="B32" s="38" t="str">
        <f>IF(Info!B32="Atlar şu ýeri","",Info!B32)</f>
        <v>Piriýew Aýhan</v>
      </c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20"/>
      <c r="AB32" s="21" t="str">
        <f t="shared" si="1"/>
        <v/>
      </c>
      <c r="AC32" s="22" t="str">
        <f t="shared" si="2"/>
        <v/>
      </c>
      <c r="AD32" s="23" t="str">
        <f>IF(AC32="","","   "&amp;INDEX(Results!$W$6:$W$18,MATCH(AC32,Results!$V$6:$V$18,1)))</f>
        <v/>
      </c>
    </row>
    <row r="33" spans="1:32" x14ac:dyDescent="0.2">
      <c r="A33" s="18">
        <f t="shared" ca="1" si="0"/>
        <v>28</v>
      </c>
      <c r="B33" s="38" t="str">
        <f>IF(Info!B33="Atlar şu ýeri","",Info!B33)</f>
        <v>Taganow Sanjar</v>
      </c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20"/>
      <c r="AB33" s="21" t="str">
        <f t="shared" si="1"/>
        <v/>
      </c>
      <c r="AC33" s="22" t="str">
        <f t="shared" si="2"/>
        <v/>
      </c>
      <c r="AD33" s="23" t="str">
        <f>IF(AC33="","","   "&amp;INDEX(Results!$W$6:$W$18,MATCH(AC33,Results!$V$6:$V$18,1)))</f>
        <v/>
      </c>
    </row>
    <row r="34" spans="1:32" x14ac:dyDescent="0.2">
      <c r="A34" s="18">
        <f t="shared" ca="1" si="0"/>
        <v>29</v>
      </c>
      <c r="B34" s="38" t="str">
        <f>IF(Info!B34="Atlar şu ýeri","",Info!B34)</f>
        <v>Weliýew Öwez</v>
      </c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20"/>
      <c r="AB34" s="21" t="str">
        <f t="shared" si="1"/>
        <v/>
      </c>
      <c r="AC34" s="22" t="str">
        <f t="shared" si="2"/>
        <v/>
      </c>
      <c r="AD34" s="23" t="str">
        <f>IF(AC34="","","   "&amp;INDEX(Results!$W$6:$W$18,MATCH(AC34,Results!$V$6:$V$18,1)))</f>
        <v/>
      </c>
    </row>
    <row r="35" spans="1:32" x14ac:dyDescent="0.2">
      <c r="A35" s="18">
        <f t="shared" ca="1" si="0"/>
        <v>30</v>
      </c>
      <c r="B35" s="38" t="str">
        <f>IF(Info!B35="Atlar şu ýeri","",Info!B35)</f>
        <v>Ýagşybaýew Muhammet</v>
      </c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20"/>
      <c r="AB35" s="21" t="str">
        <f t="shared" si="1"/>
        <v/>
      </c>
      <c r="AC35" s="22" t="str">
        <f t="shared" si="2"/>
        <v/>
      </c>
      <c r="AD35" s="23" t="str">
        <f>IF(AC35="","","   "&amp;INDEX(Results!$W$6:$W$18,MATCH(AC35,Results!$V$6:$V$18,1)))</f>
        <v/>
      </c>
    </row>
    <row r="36" spans="1:32" ht="6.75" customHeight="1" x14ac:dyDescent="0.2">
      <c r="A36" s="18">
        <f t="shared" ca="1" si="0"/>
        <v>31</v>
      </c>
      <c r="B36" s="38" t="str">
        <f>IF(Info!B36="Atlar şu ýeri","",Info!B36)</f>
        <v>Ýazberdiýewa Söýli</v>
      </c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20"/>
      <c r="AB36" s="21" t="str">
        <f t="shared" si="1"/>
        <v/>
      </c>
      <c r="AC36" s="22" t="str">
        <f t="shared" si="2"/>
        <v/>
      </c>
      <c r="AD36" s="23" t="str">
        <f>IF(AC36="","","   "&amp;INDEX(Results!$W$6:$W$18,MATCH(AC36,Results!$V$6:$V$18,1)))</f>
        <v/>
      </c>
    </row>
    <row r="37" spans="1:32" x14ac:dyDescent="0.2">
      <c r="A37" s="18">
        <f t="shared" ca="1" si="0"/>
        <v>32</v>
      </c>
      <c r="B37" s="38" t="str">
        <f>IF(Info!B37="Atlar şu ýeri","",Info!B37)</f>
        <v>Ýazyýewa Meňli</v>
      </c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20"/>
      <c r="AB37" s="21" t="str">
        <f t="shared" si="1"/>
        <v/>
      </c>
      <c r="AC37" s="22" t="str">
        <f t="shared" si="2"/>
        <v/>
      </c>
      <c r="AD37" s="23" t="str">
        <f>IF(AC37="","","   "&amp;INDEX(Results!$W$6:$W$18,MATCH(AC37,Results!$V$6:$V$18,1)))</f>
        <v/>
      </c>
    </row>
    <row r="38" spans="1:32" x14ac:dyDescent="0.2">
      <c r="A38" s="18">
        <f t="shared" ca="1" si="0"/>
        <v>33</v>
      </c>
      <c r="B38" s="38" t="str">
        <f>IF(Info!B38="Atlar şu ýeri","",Info!B38)</f>
        <v>Ýunusow Ýunus</v>
      </c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20"/>
      <c r="AB38" s="21" t="str">
        <f t="shared" si="1"/>
        <v/>
      </c>
      <c r="AC38" s="22" t="str">
        <f t="shared" si="2"/>
        <v/>
      </c>
      <c r="AD38" s="23" t="str">
        <f>IF(AC38="","","   "&amp;INDEX(Results!$W$6:$W$18,MATCH(AC38,Results!$V$6:$V$18,1)))</f>
        <v/>
      </c>
    </row>
    <row r="39" spans="1:32" x14ac:dyDescent="0.2">
      <c r="A39" s="18">
        <f t="shared" ca="1" si="0"/>
        <v>34</v>
      </c>
      <c r="B39" s="38" t="str">
        <f>IF(Info!B39="Atlar şu ýeri","",Info!B39)</f>
        <v>Ýusupowa  Jahan</v>
      </c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20"/>
      <c r="AB39" s="21" t="str">
        <f t="shared" si="1"/>
        <v/>
      </c>
      <c r="AC39" s="22" t="str">
        <f t="shared" si="2"/>
        <v/>
      </c>
      <c r="AD39" s="23" t="str">
        <f>IF(AC39="","","   "&amp;INDEX(Results!$W$6:$W$18,MATCH(AC39,Results!$V$6:$V$18,1)))</f>
        <v/>
      </c>
    </row>
    <row r="40" spans="1:32" x14ac:dyDescent="0.2">
      <c r="A40" s="18">
        <f t="shared" ca="1" si="0"/>
        <v>35</v>
      </c>
      <c r="B40" s="38" t="str">
        <f>IF(Info!B40="Atlar şu ýeri","",Info!B40)</f>
        <v/>
      </c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20"/>
      <c r="AB40" s="21" t="str">
        <f t="shared" si="1"/>
        <v/>
      </c>
      <c r="AC40" s="22" t="str">
        <f t="shared" si="2"/>
        <v/>
      </c>
      <c r="AD40" s="23" t="str">
        <f>IF(AC40="","","   "&amp;INDEX(Results!$W$6:$W$18,MATCH(AC40,Results!$V$6:$V$18,1)))</f>
        <v/>
      </c>
    </row>
    <row r="41" spans="1:32" x14ac:dyDescent="0.2">
      <c r="A41" s="18">
        <f t="shared" ca="1" si="0"/>
        <v>36</v>
      </c>
      <c r="B41" s="38" t="str">
        <f>IF(Info!B41="Atlar şu ýeri","",Info!B41)</f>
        <v/>
      </c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20"/>
      <c r="AB41" s="21" t="str">
        <f t="shared" si="1"/>
        <v/>
      </c>
      <c r="AC41" s="22" t="str">
        <f t="shared" si="2"/>
        <v/>
      </c>
      <c r="AD41" s="23" t="str">
        <f>IF(AC41="","","   "&amp;INDEX(Results!$W$6:$W$18,MATCH(AC41,Results!$V$6:$V$18,1)))</f>
        <v/>
      </c>
    </row>
    <row r="42" spans="1:32" x14ac:dyDescent="0.2">
      <c r="A42" s="18">
        <f t="shared" ca="1" si="0"/>
        <v>37</v>
      </c>
      <c r="B42" s="38" t="str">
        <f>IF(Info!B42="Atlar şu ýeri","",Info!B42)</f>
        <v/>
      </c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20"/>
      <c r="AB42" s="21" t="str">
        <f t="shared" si="1"/>
        <v/>
      </c>
      <c r="AC42" s="22" t="str">
        <f t="shared" si="2"/>
        <v/>
      </c>
      <c r="AD42" s="23" t="str">
        <f>IF(AC42="","","   "&amp;INDEX(Results!$W$6:$W$18,MATCH(AC42,Results!$V$6:$V$18,1)))</f>
        <v/>
      </c>
    </row>
    <row r="43" spans="1:32" x14ac:dyDescent="0.2">
      <c r="A43" s="18">
        <f t="shared" ca="1" si="0"/>
        <v>38</v>
      </c>
      <c r="B43" s="38" t="str">
        <f>IF(Info!B43="Atlar şu ýeri","",Info!B43)</f>
        <v/>
      </c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20"/>
      <c r="AB43" s="21" t="str">
        <f t="shared" si="1"/>
        <v/>
      </c>
      <c r="AC43" s="22" t="str">
        <f t="shared" si="2"/>
        <v/>
      </c>
      <c r="AD43" s="23" t="str">
        <f>IF(AC43="","","   "&amp;INDEX(Results!$W$6:$W$18,MATCH(AC43,Results!$V$6:$V$18,1)))</f>
        <v/>
      </c>
    </row>
    <row r="44" spans="1:32" x14ac:dyDescent="0.2">
      <c r="A44" s="18">
        <f t="shared" ca="1" si="0"/>
        <v>39</v>
      </c>
      <c r="B44" s="38" t="str">
        <f>IF(Info!B44="Atlar şu ýeri","",Info!B44)</f>
        <v/>
      </c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20"/>
      <c r="AB44" s="21" t="str">
        <f t="shared" si="1"/>
        <v/>
      </c>
      <c r="AC44" s="22" t="str">
        <f t="shared" si="2"/>
        <v/>
      </c>
      <c r="AD44" s="23" t="str">
        <f>IF(AC44="","","   "&amp;INDEX(Results!$W$6:$W$18,MATCH(AC44,Results!$V$6:$V$18,1)))</f>
        <v/>
      </c>
    </row>
    <row r="45" spans="1:32" x14ac:dyDescent="0.2">
      <c r="A45" s="18">
        <f t="shared" ca="1" si="0"/>
        <v>40</v>
      </c>
      <c r="B45" s="38" t="str">
        <f>IF(Info!B45="Atlar şu ýeri","",Info!B45)</f>
        <v/>
      </c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20"/>
      <c r="AB45" s="21" t="str">
        <f t="shared" si="1"/>
        <v/>
      </c>
      <c r="AC45" s="22" t="str">
        <f t="shared" si="2"/>
        <v/>
      </c>
      <c r="AD45" s="23" t="str">
        <f>IF(AC45="","","   "&amp;INDEX(Results!$W$6:$W$18,MATCH(AC45,Results!$V$6:$V$18,1)))</f>
        <v/>
      </c>
    </row>
    <row r="46" spans="1:32" x14ac:dyDescent="0.2">
      <c r="A46" s="24" t="s">
        <v>0</v>
      </c>
      <c r="B46" s="25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7"/>
      <c r="AB46" s="28" t="str">
        <f>IF(SUM(C46:Z46)=0,"",SUMPRODUCT(C46:Z46,$C$4:$Z$4))</f>
        <v/>
      </c>
      <c r="AC46" s="29" t="str">
        <f>IF(SUM(C46:Z46)=0,"",#REF!+AB46/(SUMIF(C46:Z46,"&lt;&gt;",$C$4:$Z$4)-SUMIF(C46:Z46,"=E",$C$4:$Z$4)))</f>
        <v/>
      </c>
      <c r="AD46" s="30" t="str">
        <f>IF(AC46="","",INDEX(Results!$W$6:$W$18,MATCH(AC46,Results!$V$6:$V$18,1)))</f>
        <v/>
      </c>
    </row>
    <row r="47" spans="1:32" x14ac:dyDescent="0.2">
      <c r="A47" s="2"/>
      <c r="B47" s="31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AA47" s="27"/>
      <c r="AB47" s="33" t="s">
        <v>45</v>
      </c>
      <c r="AC47" s="34" t="e">
        <f>AVERAGE(AC6:AC46)</f>
        <v>#DIV/0!</v>
      </c>
      <c r="AD47" s="35" t="e">
        <f>IF(AC47="","",INDEX(Results!$W$6:$W$18,MATCH(AC47,Results!$V$6:$V$18,1)))</f>
        <v>#DIV/0!</v>
      </c>
      <c r="AF47" s="36"/>
    </row>
    <row r="48" spans="1:32" x14ac:dyDescent="0.2">
      <c r="A48" s="2"/>
      <c r="B48" s="31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27"/>
      <c r="AB48" s="90"/>
      <c r="AC48" s="91"/>
      <c r="AD48" s="92"/>
      <c r="AF48" s="36"/>
    </row>
    <row r="49" spans="1:30" x14ac:dyDescent="0.2">
      <c r="A49" s="2"/>
      <c r="B49" s="37"/>
      <c r="C49" s="32"/>
      <c r="D49" s="32"/>
      <c r="E49" s="32"/>
      <c r="F49" s="32"/>
      <c r="G49" s="32"/>
      <c r="H49" s="32"/>
      <c r="I49" s="93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27"/>
      <c r="AB49" s="2"/>
      <c r="AC49" s="2"/>
      <c r="AD49" s="2"/>
    </row>
  </sheetData>
  <mergeCells count="4">
    <mergeCell ref="AB3:AB4"/>
    <mergeCell ref="AC3:AC4"/>
    <mergeCell ref="AD3:AD4"/>
    <mergeCell ref="C1:T1"/>
  </mergeCell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F49"/>
  <sheetViews>
    <sheetView zoomScale="70" zoomScaleNormal="70" workbookViewId="0">
      <selection activeCell="V26" sqref="V26"/>
    </sheetView>
  </sheetViews>
  <sheetFormatPr defaultRowHeight="12.75" x14ac:dyDescent="0.2"/>
  <cols>
    <col min="1" max="1" width="3.7109375" style="1" customWidth="1"/>
    <col min="2" max="2" width="37.42578125" style="1" bestFit="1" customWidth="1"/>
    <col min="3" max="3" width="9" style="1" bestFit="1" customWidth="1"/>
    <col min="4" max="16" width="9" style="1" customWidth="1"/>
    <col min="17" max="18" width="7.140625" style="1" customWidth="1"/>
    <col min="19" max="19" width="7.85546875" style="1" bestFit="1" customWidth="1"/>
    <col min="20" max="26" width="7.140625" style="1" customWidth="1"/>
    <col min="27" max="27" width="1.42578125" style="1" customWidth="1"/>
    <col min="28" max="28" width="7.5703125" style="1" customWidth="1"/>
    <col min="29" max="29" width="10.5703125" style="1" bestFit="1" customWidth="1"/>
    <col min="30" max="30" width="6.85546875" style="1" customWidth="1"/>
    <col min="31" max="31" width="5.28515625" style="1" customWidth="1"/>
    <col min="32" max="32" width="16.7109375" style="1" customWidth="1"/>
    <col min="33" max="16384" width="9.140625" style="1"/>
  </cols>
  <sheetData>
    <row r="1" spans="1:30" ht="28.5" customHeight="1" x14ac:dyDescent="0.3">
      <c r="A1" s="2"/>
      <c r="B1" s="3" t="s">
        <v>153</v>
      </c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87"/>
      <c r="V1" s="87"/>
      <c r="W1" s="4"/>
      <c r="X1" s="4"/>
      <c r="Y1" s="4"/>
      <c r="Z1" s="4"/>
      <c r="AA1" s="4"/>
      <c r="AB1" s="4"/>
      <c r="AC1" s="6"/>
      <c r="AD1" s="6"/>
    </row>
    <row r="2" spans="1:30" ht="15" x14ac:dyDescent="0.25">
      <c r="A2" s="2"/>
      <c r="B2" s="7" t="s">
        <v>162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10"/>
    </row>
    <row r="3" spans="1:30" ht="59.25" customHeight="1" x14ac:dyDescent="0.25">
      <c r="A3" s="11"/>
      <c r="B3" s="12" t="s">
        <v>148</v>
      </c>
      <c r="C3" s="13" t="s">
        <v>124</v>
      </c>
      <c r="D3" s="13" t="s">
        <v>125</v>
      </c>
      <c r="E3" s="13" t="s">
        <v>126</v>
      </c>
      <c r="F3" s="13" t="s">
        <v>127</v>
      </c>
      <c r="G3" s="13" t="s">
        <v>128</v>
      </c>
      <c r="H3" s="13" t="s">
        <v>129</v>
      </c>
      <c r="I3" s="13" t="s">
        <v>130</v>
      </c>
      <c r="J3" s="13" t="s">
        <v>131</v>
      </c>
      <c r="K3" s="13" t="s">
        <v>132</v>
      </c>
      <c r="L3" s="13" t="s">
        <v>133</v>
      </c>
      <c r="M3" s="13" t="s">
        <v>134</v>
      </c>
      <c r="N3" s="13" t="s">
        <v>135</v>
      </c>
      <c r="O3" s="13" t="s">
        <v>136</v>
      </c>
      <c r="P3" s="13" t="s">
        <v>137</v>
      </c>
      <c r="Q3" s="13" t="s">
        <v>138</v>
      </c>
      <c r="R3" s="13" t="s">
        <v>139</v>
      </c>
      <c r="S3" s="13" t="s">
        <v>140</v>
      </c>
      <c r="T3" s="13" t="s">
        <v>141</v>
      </c>
      <c r="U3" s="13" t="s">
        <v>142</v>
      </c>
      <c r="V3" s="13" t="s">
        <v>143</v>
      </c>
      <c r="W3" s="13" t="s">
        <v>144</v>
      </c>
      <c r="X3" s="13" t="s">
        <v>145</v>
      </c>
      <c r="Y3" s="13" t="s">
        <v>146</v>
      </c>
      <c r="Z3" s="13" t="s">
        <v>147</v>
      </c>
      <c r="AA3" s="14"/>
      <c r="AB3" s="97" t="s">
        <v>156</v>
      </c>
      <c r="AC3" s="98" t="s">
        <v>157</v>
      </c>
      <c r="AD3" s="99" t="s">
        <v>158</v>
      </c>
    </row>
    <row r="4" spans="1:30" x14ac:dyDescent="0.2">
      <c r="A4" s="11"/>
      <c r="B4" s="15" t="s">
        <v>154</v>
      </c>
      <c r="C4" s="16">
        <v>5</v>
      </c>
      <c r="D4" s="16">
        <v>5</v>
      </c>
      <c r="E4" s="16">
        <v>5</v>
      </c>
      <c r="F4" s="16">
        <v>5</v>
      </c>
      <c r="G4" s="16">
        <v>5</v>
      </c>
      <c r="H4" s="16">
        <v>5</v>
      </c>
      <c r="I4" s="16">
        <v>5</v>
      </c>
      <c r="J4" s="16">
        <v>5</v>
      </c>
      <c r="K4" s="16">
        <v>5</v>
      </c>
      <c r="L4" s="16">
        <v>5</v>
      </c>
      <c r="M4" s="16">
        <v>5</v>
      </c>
      <c r="N4" s="16">
        <v>5</v>
      </c>
      <c r="O4" s="16">
        <v>5</v>
      </c>
      <c r="P4" s="16">
        <v>5</v>
      </c>
      <c r="Q4" s="16">
        <v>5</v>
      </c>
      <c r="R4" s="16">
        <v>5</v>
      </c>
      <c r="S4" s="16">
        <v>5</v>
      </c>
      <c r="T4" s="16">
        <v>5</v>
      </c>
      <c r="U4" s="16">
        <v>5</v>
      </c>
      <c r="V4" s="16">
        <v>5</v>
      </c>
      <c r="W4" s="16">
        <v>5</v>
      </c>
      <c r="X4" s="16">
        <v>5</v>
      </c>
      <c r="Y4" s="16">
        <v>5</v>
      </c>
      <c r="Z4" s="16">
        <v>5</v>
      </c>
      <c r="AA4" s="17"/>
      <c r="AB4" s="97"/>
      <c r="AC4" s="97"/>
      <c r="AD4" s="97"/>
    </row>
    <row r="5" spans="1:30" ht="6" customHeight="1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18">
        <f t="shared" ref="A6:A45" ca="1" si="0">OFFSET(A6,-1,0,1,1)+1</f>
        <v>1</v>
      </c>
      <c r="B6" s="38" t="str">
        <f>IF(Info!B6="Atlar şu ýeri","",Info!B6)</f>
        <v>Abdullaýewa Dinara</v>
      </c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20"/>
      <c r="AB6" s="21" t="str">
        <f>IF(SUM(C6:Z6)=0,"",SUMPRODUCT(C6:Z6))</f>
        <v/>
      </c>
      <c r="AC6" s="22" t="str">
        <f>IF(SUM(C6:Z6)=0,"",AB6/(SUMIF(C6:Z6,"&lt;&gt;",$C$4:$Z$4)-SUMIF(C6:Z6,"=E",$C$4:$Z$4)))</f>
        <v/>
      </c>
      <c r="AD6" s="23" t="str">
        <f>IF(AC6="","","   "&amp;INDEX(Results!$W$6:$W$18,MATCH(AC6,Results!$V$6:$V$18,1)))</f>
        <v/>
      </c>
    </row>
    <row r="7" spans="1:30" x14ac:dyDescent="0.2">
      <c r="A7" s="18">
        <f t="shared" ca="1" si="0"/>
        <v>2</v>
      </c>
      <c r="B7" s="38" t="str">
        <f>IF(Info!B7="Atlar şu ýeri","",Info!B7)</f>
        <v>Arslanow Yhlas</v>
      </c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20"/>
      <c r="AB7" s="21" t="str">
        <f t="shared" ref="AB7:AB45" si="1">IF(SUM(C7:Z7)=0,"",SUMPRODUCT(C7:Z7))</f>
        <v/>
      </c>
      <c r="AC7" s="22" t="str">
        <f t="shared" ref="AC7:AC45" si="2">IF(SUM(C7:Z7)=0,"",AB7/(SUMIF(C7:Z7,"&lt;&gt;",$C$4:$Z$4)-SUMIF(C7:Z7,"=E",$C$4:$Z$4)))</f>
        <v/>
      </c>
      <c r="AD7" s="23" t="str">
        <f>IF(AC7="","","   "&amp;INDEX(Results!$W$6:$W$18,MATCH(AC7,Results!$V$6:$V$18,1)))</f>
        <v/>
      </c>
    </row>
    <row r="8" spans="1:30" x14ac:dyDescent="0.2">
      <c r="A8" s="18">
        <f t="shared" ca="1" si="0"/>
        <v>3</v>
      </c>
      <c r="B8" s="38" t="str">
        <f>IF(Info!B8="Atlar şu ýeri","",Info!B8)</f>
        <v>Aşyrowa Maýsa</v>
      </c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20"/>
      <c r="AB8" s="21" t="str">
        <f t="shared" si="1"/>
        <v/>
      </c>
      <c r="AC8" s="22" t="str">
        <f t="shared" si="2"/>
        <v/>
      </c>
      <c r="AD8" s="23" t="str">
        <f>IF(AC8="","","   "&amp;INDEX(Results!$W$6:$W$18,MATCH(AC8,Results!$V$6:$V$18,1)))</f>
        <v/>
      </c>
    </row>
    <row r="9" spans="1:30" x14ac:dyDescent="0.2">
      <c r="A9" s="18">
        <f t="shared" ca="1" si="0"/>
        <v>4</v>
      </c>
      <c r="B9" s="38" t="str">
        <f>IF(Info!B9="Atlar şu ýeri","",Info!B9)</f>
        <v>Atabaýewa Ogulaý</v>
      </c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20"/>
      <c r="AB9" s="21" t="str">
        <f t="shared" si="1"/>
        <v/>
      </c>
      <c r="AC9" s="22" t="str">
        <f t="shared" si="2"/>
        <v/>
      </c>
      <c r="AD9" s="23" t="str">
        <f>IF(AC9="","","   "&amp;INDEX(Results!$W$6:$W$18,MATCH(AC9,Results!$V$6:$V$18,1)))</f>
        <v/>
      </c>
    </row>
    <row r="10" spans="1:30" x14ac:dyDescent="0.2">
      <c r="A10" s="18">
        <f t="shared" ca="1" si="0"/>
        <v>5</v>
      </c>
      <c r="B10" s="38" t="str">
        <f>IF(Info!B10="Atlar şu ýeri","",Info!B10)</f>
        <v>Atanazarow Meýlis</v>
      </c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20"/>
      <c r="AB10" s="21" t="str">
        <f t="shared" si="1"/>
        <v/>
      </c>
      <c r="AC10" s="22" t="str">
        <f t="shared" si="2"/>
        <v/>
      </c>
      <c r="AD10" s="23" t="str">
        <f>IF(AC10="","","   "&amp;INDEX(Results!$W$6:$W$18,MATCH(AC10,Results!$V$6:$V$18,1)))</f>
        <v/>
      </c>
    </row>
    <row r="11" spans="1:30" x14ac:dyDescent="0.2">
      <c r="A11" s="18">
        <f t="shared" ca="1" si="0"/>
        <v>6</v>
      </c>
      <c r="B11" s="38" t="str">
        <f>IF(Info!B11="Atlar şu ýeri","",Info!B11)</f>
        <v>Babajanowa Aýlar</v>
      </c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20"/>
      <c r="AB11" s="21" t="str">
        <f t="shared" si="1"/>
        <v/>
      </c>
      <c r="AC11" s="22" t="str">
        <f t="shared" si="2"/>
        <v/>
      </c>
      <c r="AD11" s="23" t="str">
        <f>IF(AC11="","","   "&amp;INDEX(Results!$W$6:$W$18,MATCH(AC11,Results!$V$6:$V$18,1)))</f>
        <v/>
      </c>
    </row>
    <row r="12" spans="1:30" x14ac:dyDescent="0.2">
      <c r="A12" s="18">
        <f t="shared" ca="1" si="0"/>
        <v>7</v>
      </c>
      <c r="B12" s="38" t="str">
        <f>IF(Info!B12="Atlar şu ýeri","",Info!B12)</f>
        <v>Babajanowa Selbi</v>
      </c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20"/>
      <c r="AB12" s="21" t="str">
        <f t="shared" si="1"/>
        <v/>
      </c>
      <c r="AC12" s="22" t="str">
        <f t="shared" si="2"/>
        <v/>
      </c>
      <c r="AD12" s="23" t="str">
        <f>IF(AC12="","","   "&amp;INDEX(Results!$W$6:$W$18,MATCH(AC12,Results!$V$6:$V$18,1)))</f>
        <v/>
      </c>
    </row>
    <row r="13" spans="1:30" x14ac:dyDescent="0.2">
      <c r="A13" s="18">
        <f t="shared" ca="1" si="0"/>
        <v>8</v>
      </c>
      <c r="B13" s="38" t="str">
        <f>IF(Info!B13="Atlar şu ýeri","",Info!B13)</f>
        <v>Ataýew Nurgeldi</v>
      </c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20"/>
      <c r="AB13" s="21" t="str">
        <f t="shared" si="1"/>
        <v/>
      </c>
      <c r="AC13" s="22" t="str">
        <f t="shared" si="2"/>
        <v/>
      </c>
      <c r="AD13" s="23" t="str">
        <f>IF(AC13="","","   "&amp;INDEX(Results!$W$6:$W$18,MATCH(AC13,Results!$V$6:$V$18,1)))</f>
        <v/>
      </c>
    </row>
    <row r="14" spans="1:30" x14ac:dyDescent="0.2">
      <c r="A14" s="18">
        <f t="shared" ca="1" si="0"/>
        <v>9</v>
      </c>
      <c r="B14" s="38" t="str">
        <f>IF(Info!B14="Atlar şu ýeri","",Info!B14)</f>
        <v>Batyrow Arafat</v>
      </c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20"/>
      <c r="AB14" s="21" t="str">
        <f t="shared" si="1"/>
        <v/>
      </c>
      <c r="AC14" s="22" t="str">
        <f t="shared" si="2"/>
        <v/>
      </c>
      <c r="AD14" s="23" t="str">
        <f>IF(AC14="","","   "&amp;INDEX(Results!$W$6:$W$18,MATCH(AC14,Results!$V$6:$V$18,1)))</f>
        <v/>
      </c>
    </row>
    <row r="15" spans="1:30" x14ac:dyDescent="0.2">
      <c r="A15" s="18">
        <f t="shared" ca="1" si="0"/>
        <v>10</v>
      </c>
      <c r="B15" s="38" t="str">
        <f>IF(Info!B15="Atlar şu ýeri","",Info!B15)</f>
        <v>Çaryýew Kemal</v>
      </c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20"/>
      <c r="AB15" s="21" t="str">
        <f t="shared" si="1"/>
        <v/>
      </c>
      <c r="AC15" s="22" t="str">
        <f t="shared" si="2"/>
        <v/>
      </c>
      <c r="AD15" s="23" t="str">
        <f>IF(AC15="","","   "&amp;INDEX(Results!$W$6:$W$18,MATCH(AC15,Results!$V$6:$V$18,1)))</f>
        <v/>
      </c>
    </row>
    <row r="16" spans="1:30" x14ac:dyDescent="0.2">
      <c r="A16" s="18">
        <f t="shared" ca="1" si="0"/>
        <v>11</v>
      </c>
      <c r="B16" s="38" t="str">
        <f>IF(Info!B16="Atlar şu ýeri","",Info!B16)</f>
        <v>Gurbanow Mekanmyrat</v>
      </c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20"/>
      <c r="AB16" s="21" t="str">
        <f t="shared" si="1"/>
        <v/>
      </c>
      <c r="AC16" s="22" t="str">
        <f t="shared" si="2"/>
        <v/>
      </c>
      <c r="AD16" s="23" t="str">
        <f>IF(AC16="","","   "&amp;INDEX(Results!$W$6:$W$18,MATCH(AC16,Results!$V$6:$V$18,1)))</f>
        <v/>
      </c>
    </row>
    <row r="17" spans="1:30" x14ac:dyDescent="0.2">
      <c r="A17" s="18">
        <f t="shared" ca="1" si="0"/>
        <v>12</v>
      </c>
      <c r="B17" s="38" t="str">
        <f>IF(Info!B17="Atlar şu ýeri","",Info!B17)</f>
        <v>Hojamuhammedow Guwanç</v>
      </c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20"/>
      <c r="AB17" s="21" t="str">
        <f t="shared" si="1"/>
        <v/>
      </c>
      <c r="AC17" s="22" t="str">
        <f t="shared" si="2"/>
        <v/>
      </c>
      <c r="AD17" s="23" t="str">
        <f>IF(AC17="","","   "&amp;INDEX(Results!$W$6:$W$18,MATCH(AC17,Results!$V$6:$V$18,1)))</f>
        <v/>
      </c>
    </row>
    <row r="18" spans="1:30" x14ac:dyDescent="0.2">
      <c r="A18" s="18">
        <f t="shared" ca="1" si="0"/>
        <v>13</v>
      </c>
      <c r="B18" s="38" t="str">
        <f>IF(Info!B18="Atlar şu ýeri","",Info!B18)</f>
        <v xml:space="preserve">Hojamämmedow  </v>
      </c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20"/>
      <c r="AB18" s="21" t="str">
        <f t="shared" si="1"/>
        <v/>
      </c>
      <c r="AC18" s="22" t="str">
        <f t="shared" si="2"/>
        <v/>
      </c>
      <c r="AD18" s="23" t="str">
        <f>IF(AC18="","","   "&amp;INDEX(Results!$W$6:$W$18,MATCH(AC18,Results!$V$6:$V$18,1)))</f>
        <v/>
      </c>
    </row>
    <row r="19" spans="1:30" x14ac:dyDescent="0.2">
      <c r="A19" s="18">
        <f t="shared" ca="1" si="0"/>
        <v>14</v>
      </c>
      <c r="B19" s="38" t="str">
        <f>IF(Info!B19="Atlar şu ýeri","",Info!B19)</f>
        <v>Hanowa Gülälek</v>
      </c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20"/>
      <c r="AB19" s="21" t="str">
        <f t="shared" si="1"/>
        <v/>
      </c>
      <c r="AC19" s="22" t="str">
        <f t="shared" si="2"/>
        <v/>
      </c>
      <c r="AD19" s="23" t="str">
        <f>IF(AC19="","","   "&amp;INDEX(Results!$W$6:$W$18,MATCH(AC19,Results!$V$6:$V$18,1)))</f>
        <v/>
      </c>
    </row>
    <row r="20" spans="1:30" x14ac:dyDescent="0.2">
      <c r="A20" s="18">
        <f t="shared" ca="1" si="0"/>
        <v>15</v>
      </c>
      <c r="B20" s="38" t="str">
        <f>IF(Info!B20="Atlar şu ýeri","",Info!B20)</f>
        <v>Husainow Serdar</v>
      </c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20"/>
      <c r="AB20" s="21" t="str">
        <f t="shared" si="1"/>
        <v/>
      </c>
      <c r="AC20" s="22" t="str">
        <f t="shared" si="2"/>
        <v/>
      </c>
      <c r="AD20" s="23" t="str">
        <f>IF(AC20="","","   "&amp;INDEX(Results!$W$6:$W$18,MATCH(AC20,Results!$V$6:$V$18,1)))</f>
        <v/>
      </c>
    </row>
    <row r="21" spans="1:30" x14ac:dyDescent="0.2">
      <c r="A21" s="18">
        <f t="shared" ca="1" si="0"/>
        <v>16</v>
      </c>
      <c r="B21" s="38" t="str">
        <f>IF(Info!B21="Atlar şu ýeri","",Info!B21)</f>
        <v>Orunowa Täçbibi</v>
      </c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20"/>
      <c r="AB21" s="21" t="str">
        <f t="shared" si="1"/>
        <v/>
      </c>
      <c r="AC21" s="22" t="str">
        <f t="shared" si="2"/>
        <v/>
      </c>
      <c r="AD21" s="23" t="str">
        <f>IF(AC21="","","   "&amp;INDEX(Results!$W$6:$W$18,MATCH(AC21,Results!$V$6:$V$18,1)))</f>
        <v/>
      </c>
    </row>
    <row r="22" spans="1:30" x14ac:dyDescent="0.2">
      <c r="A22" s="18">
        <f t="shared" ca="1" si="0"/>
        <v>17</v>
      </c>
      <c r="B22" s="38" t="str">
        <f>IF(Info!B22="Atlar şu ýeri","",Info!B22)</f>
        <v>Ilýasow Älem</v>
      </c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20"/>
      <c r="AB22" s="21" t="str">
        <f t="shared" si="1"/>
        <v/>
      </c>
      <c r="AC22" s="22" t="str">
        <f t="shared" si="2"/>
        <v/>
      </c>
      <c r="AD22" s="23" t="str">
        <f>IF(AC22="","","   "&amp;INDEX(Results!$W$6:$W$18,MATCH(AC22,Results!$V$6:$V$18,1)))</f>
        <v/>
      </c>
    </row>
    <row r="23" spans="1:30" x14ac:dyDescent="0.2">
      <c r="A23" s="18">
        <f t="shared" ca="1" si="0"/>
        <v>18</v>
      </c>
      <c r="B23" s="38" t="str">
        <f>IF(Info!B23="Atlar şu ýeri","",Info!B23)</f>
        <v>Karabaýew Begli</v>
      </c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20"/>
      <c r="AB23" s="21" t="str">
        <f t="shared" si="1"/>
        <v/>
      </c>
      <c r="AC23" s="22" t="str">
        <f t="shared" si="2"/>
        <v/>
      </c>
      <c r="AD23" s="23" t="str">
        <f>IF(AC23="","","   "&amp;INDEX(Results!$W$6:$W$18,MATCH(AC23,Results!$V$6:$V$18,1)))</f>
        <v/>
      </c>
    </row>
    <row r="24" spans="1:30" x14ac:dyDescent="0.2">
      <c r="A24" s="18">
        <f t="shared" ca="1" si="0"/>
        <v>19</v>
      </c>
      <c r="B24" s="38" t="str">
        <f>IF(Info!B24="Atlar şu ýeri","",Info!B24)</f>
        <v>Kurbanow Wekil</v>
      </c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20"/>
      <c r="AB24" s="21" t="str">
        <f t="shared" si="1"/>
        <v/>
      </c>
      <c r="AC24" s="22" t="str">
        <f t="shared" si="2"/>
        <v/>
      </c>
      <c r="AD24" s="23" t="str">
        <f>IF(AC24="","","   "&amp;INDEX(Results!$W$6:$W$18,MATCH(AC24,Results!$V$6:$V$18,1)))</f>
        <v/>
      </c>
    </row>
    <row r="25" spans="1:30" x14ac:dyDescent="0.2">
      <c r="A25" s="18">
        <f t="shared" ca="1" si="0"/>
        <v>20</v>
      </c>
      <c r="B25" s="38" t="str">
        <f>IF(Info!B25="Atlar şu ýeri","",Info!B25)</f>
        <v>Madraimow Seidjan</v>
      </c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20"/>
      <c r="AB25" s="21" t="str">
        <f t="shared" si="1"/>
        <v/>
      </c>
      <c r="AC25" s="22" t="str">
        <f t="shared" si="2"/>
        <v/>
      </c>
      <c r="AD25" s="23" t="str">
        <f>IF(AC25="","","   "&amp;INDEX(Results!$W$6:$W$18,MATCH(AC25,Results!$V$6:$V$18,1)))</f>
        <v/>
      </c>
    </row>
    <row r="26" spans="1:30" x14ac:dyDescent="0.2">
      <c r="A26" s="18">
        <f t="shared" ca="1" si="0"/>
        <v>21</v>
      </c>
      <c r="B26" s="38" t="str">
        <f>IF(Info!B26="Atlar şu ýeri","",Info!B26)</f>
        <v>Matmuradowa Gulnur</v>
      </c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20"/>
      <c r="AB26" s="21" t="str">
        <f t="shared" si="1"/>
        <v/>
      </c>
      <c r="AC26" s="22" t="str">
        <f t="shared" si="2"/>
        <v/>
      </c>
      <c r="AD26" s="23" t="str">
        <f>IF(AC26="","","   "&amp;INDEX(Results!$W$6:$W$18,MATCH(AC26,Results!$V$6:$V$18,1)))</f>
        <v/>
      </c>
    </row>
    <row r="27" spans="1:30" x14ac:dyDescent="0.2">
      <c r="A27" s="18">
        <f t="shared" ca="1" si="0"/>
        <v>22</v>
      </c>
      <c r="B27" s="38" t="str">
        <f>IF(Info!B27="Atlar şu ýeri","",Info!B27)</f>
        <v>Myradowa Aýjahan</v>
      </c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20"/>
      <c r="AB27" s="21" t="str">
        <f t="shared" si="1"/>
        <v/>
      </c>
      <c r="AC27" s="22" t="str">
        <f t="shared" si="2"/>
        <v/>
      </c>
      <c r="AD27" s="23" t="str">
        <f>IF(AC27="","","   "&amp;INDEX(Results!$W$6:$W$18,MATCH(AC27,Results!$V$6:$V$18,1)))</f>
        <v/>
      </c>
    </row>
    <row r="28" spans="1:30" x14ac:dyDescent="0.2">
      <c r="A28" s="18">
        <f t="shared" ca="1" si="0"/>
        <v>23</v>
      </c>
      <c r="B28" s="38" t="str">
        <f>IF(Info!B28="Atlar şu ýeri","",Info!B28)</f>
        <v>Osmanowa Ýyldyz</v>
      </c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20"/>
      <c r="AB28" s="21" t="str">
        <f t="shared" si="1"/>
        <v/>
      </c>
      <c r="AC28" s="22" t="str">
        <f t="shared" si="2"/>
        <v/>
      </c>
      <c r="AD28" s="23" t="str">
        <f>IF(AC28="","","   "&amp;INDEX(Results!$W$6:$W$18,MATCH(AC28,Results!$V$6:$V$18,1)))</f>
        <v/>
      </c>
    </row>
    <row r="29" spans="1:30" x14ac:dyDescent="0.2">
      <c r="A29" s="18">
        <f t="shared" ca="1" si="0"/>
        <v>24</v>
      </c>
      <c r="B29" s="38" t="str">
        <f>IF(Info!B29="Atlar şu ýeri","",Info!B29)</f>
        <v>Orazowa Aýnur</v>
      </c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20"/>
      <c r="AB29" s="21" t="str">
        <f t="shared" si="1"/>
        <v/>
      </c>
      <c r="AC29" s="22" t="str">
        <f t="shared" si="2"/>
        <v/>
      </c>
      <c r="AD29" s="23" t="str">
        <f>IF(AC29="","","   "&amp;INDEX(Results!$W$6:$W$18,MATCH(AC29,Results!$V$6:$V$18,1)))</f>
        <v/>
      </c>
    </row>
    <row r="30" spans="1:30" x14ac:dyDescent="0.2">
      <c r="A30" s="18">
        <f t="shared" ca="1" si="0"/>
        <v>25</v>
      </c>
      <c r="B30" s="38" t="str">
        <f>IF(Info!B30="Atlar şu ýeri","",Info!B30)</f>
        <v>Orunowa Aýjemal</v>
      </c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20"/>
      <c r="AB30" s="21" t="str">
        <f t="shared" si="1"/>
        <v/>
      </c>
      <c r="AC30" s="22" t="str">
        <f t="shared" si="2"/>
        <v/>
      </c>
      <c r="AD30" s="23" t="str">
        <f>IF(AC30="","","   "&amp;INDEX(Results!$W$6:$W$18,MATCH(AC30,Results!$V$6:$V$18,1)))</f>
        <v/>
      </c>
    </row>
    <row r="31" spans="1:30" x14ac:dyDescent="0.2">
      <c r="A31" s="18">
        <f t="shared" ca="1" si="0"/>
        <v>26</v>
      </c>
      <c r="B31" s="38" t="str">
        <f>IF(Info!B31="Atlar şu ýeri","",Info!B31)</f>
        <v>Öwezow Döwlet</v>
      </c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20"/>
      <c r="AB31" s="21" t="str">
        <f t="shared" si="1"/>
        <v/>
      </c>
      <c r="AC31" s="22" t="str">
        <f t="shared" si="2"/>
        <v/>
      </c>
      <c r="AD31" s="23" t="str">
        <f>IF(AC31="","","   "&amp;INDEX(Results!$W$6:$W$18,MATCH(AC31,Results!$V$6:$V$18,1)))</f>
        <v/>
      </c>
    </row>
    <row r="32" spans="1:30" x14ac:dyDescent="0.2">
      <c r="A32" s="18">
        <f t="shared" ca="1" si="0"/>
        <v>27</v>
      </c>
      <c r="B32" s="38" t="str">
        <f>IF(Info!B32="Atlar şu ýeri","",Info!B32)</f>
        <v>Piriýew Aýhan</v>
      </c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20"/>
      <c r="AB32" s="21" t="str">
        <f t="shared" si="1"/>
        <v/>
      </c>
      <c r="AC32" s="22" t="str">
        <f t="shared" si="2"/>
        <v/>
      </c>
      <c r="AD32" s="23" t="str">
        <f>IF(AC32="","","   "&amp;INDEX(Results!$W$6:$W$18,MATCH(AC32,Results!$V$6:$V$18,1)))</f>
        <v/>
      </c>
    </row>
    <row r="33" spans="1:32" x14ac:dyDescent="0.2">
      <c r="A33" s="18">
        <f t="shared" ca="1" si="0"/>
        <v>28</v>
      </c>
      <c r="B33" s="38" t="str">
        <f>IF(Info!B33="Atlar şu ýeri","",Info!B33)</f>
        <v>Taganow Sanjar</v>
      </c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20"/>
      <c r="AB33" s="21" t="str">
        <f t="shared" si="1"/>
        <v/>
      </c>
      <c r="AC33" s="22" t="str">
        <f t="shared" si="2"/>
        <v/>
      </c>
      <c r="AD33" s="23" t="str">
        <f>IF(AC33="","","   "&amp;INDEX(Results!$W$6:$W$18,MATCH(AC33,Results!$V$6:$V$18,1)))</f>
        <v/>
      </c>
    </row>
    <row r="34" spans="1:32" x14ac:dyDescent="0.2">
      <c r="A34" s="18">
        <f t="shared" ca="1" si="0"/>
        <v>29</v>
      </c>
      <c r="B34" s="38" t="str">
        <f>IF(Info!B34="Atlar şu ýeri","",Info!B34)</f>
        <v>Weliýew Öwez</v>
      </c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20"/>
      <c r="AB34" s="21" t="str">
        <f t="shared" si="1"/>
        <v/>
      </c>
      <c r="AC34" s="22" t="str">
        <f t="shared" si="2"/>
        <v/>
      </c>
      <c r="AD34" s="23" t="str">
        <f>IF(AC34="","","   "&amp;INDEX(Results!$W$6:$W$18,MATCH(AC34,Results!$V$6:$V$18,1)))</f>
        <v/>
      </c>
    </row>
    <row r="35" spans="1:32" x14ac:dyDescent="0.2">
      <c r="A35" s="18">
        <f t="shared" ca="1" si="0"/>
        <v>30</v>
      </c>
      <c r="B35" s="38" t="str">
        <f>IF(Info!B35="Atlar şu ýeri","",Info!B35)</f>
        <v>Ýagşybaýew Muhammet</v>
      </c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20"/>
      <c r="AB35" s="21" t="str">
        <f t="shared" si="1"/>
        <v/>
      </c>
      <c r="AC35" s="22" t="str">
        <f t="shared" si="2"/>
        <v/>
      </c>
      <c r="AD35" s="23" t="str">
        <f>IF(AC35="","","   "&amp;INDEX(Results!$W$6:$W$18,MATCH(AC35,Results!$V$6:$V$18,1)))</f>
        <v/>
      </c>
    </row>
    <row r="36" spans="1:32" x14ac:dyDescent="0.2">
      <c r="A36" s="18">
        <f t="shared" ca="1" si="0"/>
        <v>31</v>
      </c>
      <c r="B36" s="38" t="str">
        <f>IF(Info!B36="Atlar şu ýeri","",Info!B36)</f>
        <v>Ýazberdiýewa Söýli</v>
      </c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20"/>
      <c r="AB36" s="21" t="str">
        <f t="shared" si="1"/>
        <v/>
      </c>
      <c r="AC36" s="22" t="str">
        <f t="shared" si="2"/>
        <v/>
      </c>
      <c r="AD36" s="23" t="str">
        <f>IF(AC36="","","   "&amp;INDEX(Results!$W$6:$W$18,MATCH(AC36,Results!$V$6:$V$18,1)))</f>
        <v/>
      </c>
    </row>
    <row r="37" spans="1:32" x14ac:dyDescent="0.2">
      <c r="A37" s="18">
        <f t="shared" ca="1" si="0"/>
        <v>32</v>
      </c>
      <c r="B37" s="38" t="str">
        <f>IF(Info!B37="Atlar şu ýeri","",Info!B37)</f>
        <v>Ýazyýewa Meňli</v>
      </c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20"/>
      <c r="AB37" s="21" t="str">
        <f t="shared" si="1"/>
        <v/>
      </c>
      <c r="AC37" s="22" t="str">
        <f t="shared" si="2"/>
        <v/>
      </c>
      <c r="AD37" s="23" t="str">
        <f>IF(AC37="","","   "&amp;INDEX(Results!$W$6:$W$18,MATCH(AC37,Results!$V$6:$V$18,1)))</f>
        <v/>
      </c>
    </row>
    <row r="38" spans="1:32" x14ac:dyDescent="0.2">
      <c r="A38" s="18">
        <f t="shared" ca="1" si="0"/>
        <v>33</v>
      </c>
      <c r="B38" s="38" t="str">
        <f>IF(Info!B38="Atlar şu ýeri","",Info!B38)</f>
        <v>Ýunusow Ýunus</v>
      </c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20"/>
      <c r="AB38" s="21" t="str">
        <f t="shared" si="1"/>
        <v/>
      </c>
      <c r="AC38" s="22" t="str">
        <f t="shared" si="2"/>
        <v/>
      </c>
      <c r="AD38" s="23" t="str">
        <f>IF(AC38="","","   "&amp;INDEX(Results!$W$6:$W$18,MATCH(AC38,Results!$V$6:$V$18,1)))</f>
        <v/>
      </c>
    </row>
    <row r="39" spans="1:32" x14ac:dyDescent="0.2">
      <c r="A39" s="18">
        <f t="shared" ca="1" si="0"/>
        <v>34</v>
      </c>
      <c r="B39" s="38" t="str">
        <f>IF(Info!B39="Atlar şu ýeri","",Info!B39)</f>
        <v>Ýusupowa  Jahan</v>
      </c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20"/>
      <c r="AB39" s="21" t="str">
        <f t="shared" si="1"/>
        <v/>
      </c>
      <c r="AC39" s="22" t="str">
        <f t="shared" si="2"/>
        <v/>
      </c>
      <c r="AD39" s="23" t="str">
        <f>IF(AC39="","","   "&amp;INDEX(Results!$W$6:$W$18,MATCH(AC39,Results!$V$6:$V$18,1)))</f>
        <v/>
      </c>
    </row>
    <row r="40" spans="1:32" x14ac:dyDescent="0.2">
      <c r="A40" s="18">
        <f t="shared" ca="1" si="0"/>
        <v>35</v>
      </c>
      <c r="B40" s="38" t="str">
        <f>IF(Info!B40="Atlar şu ýeri","",Info!B40)</f>
        <v/>
      </c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20"/>
      <c r="AB40" s="21" t="str">
        <f t="shared" si="1"/>
        <v/>
      </c>
      <c r="AC40" s="22" t="str">
        <f t="shared" si="2"/>
        <v/>
      </c>
      <c r="AD40" s="23" t="str">
        <f>IF(AC40="","","   "&amp;INDEX(Results!$W$6:$W$18,MATCH(AC40,Results!$V$6:$V$18,1)))</f>
        <v/>
      </c>
    </row>
    <row r="41" spans="1:32" x14ac:dyDescent="0.2">
      <c r="A41" s="18">
        <f t="shared" ca="1" si="0"/>
        <v>36</v>
      </c>
      <c r="B41" s="38" t="str">
        <f>IF(Info!B41="Atlar şu ýeri","",Info!B41)</f>
        <v/>
      </c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20"/>
      <c r="AB41" s="21" t="str">
        <f t="shared" si="1"/>
        <v/>
      </c>
      <c r="AC41" s="22" t="str">
        <f t="shared" si="2"/>
        <v/>
      </c>
      <c r="AD41" s="23" t="str">
        <f>IF(AC41="","","   "&amp;INDEX(Results!$W$6:$W$18,MATCH(AC41,Results!$V$6:$V$18,1)))</f>
        <v/>
      </c>
    </row>
    <row r="42" spans="1:32" x14ac:dyDescent="0.2">
      <c r="A42" s="18">
        <f t="shared" ca="1" si="0"/>
        <v>37</v>
      </c>
      <c r="B42" s="38" t="str">
        <f>IF(Info!B42="Atlar şu ýeri","",Info!B42)</f>
        <v/>
      </c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20"/>
      <c r="AB42" s="21" t="str">
        <f t="shared" si="1"/>
        <v/>
      </c>
      <c r="AC42" s="22" t="str">
        <f t="shared" si="2"/>
        <v/>
      </c>
      <c r="AD42" s="23" t="str">
        <f>IF(AC42="","","   "&amp;INDEX(Results!$W$6:$W$18,MATCH(AC42,Results!$V$6:$V$18,1)))</f>
        <v/>
      </c>
    </row>
    <row r="43" spans="1:32" x14ac:dyDescent="0.2">
      <c r="A43" s="18">
        <f t="shared" ca="1" si="0"/>
        <v>38</v>
      </c>
      <c r="B43" s="38" t="str">
        <f>IF(Info!B43="Atlar şu ýeri","",Info!B43)</f>
        <v/>
      </c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20"/>
      <c r="AB43" s="21" t="str">
        <f t="shared" si="1"/>
        <v/>
      </c>
      <c r="AC43" s="22" t="str">
        <f t="shared" si="2"/>
        <v/>
      </c>
      <c r="AD43" s="23" t="str">
        <f>IF(AC43="","","   "&amp;INDEX(Results!$W$6:$W$18,MATCH(AC43,Results!$V$6:$V$18,1)))</f>
        <v/>
      </c>
    </row>
    <row r="44" spans="1:32" x14ac:dyDescent="0.2">
      <c r="A44" s="18">
        <f t="shared" ca="1" si="0"/>
        <v>39</v>
      </c>
      <c r="B44" s="38" t="str">
        <f>IF(Info!B44="Atlar şu ýeri","",Info!B44)</f>
        <v/>
      </c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20"/>
      <c r="AB44" s="21" t="str">
        <f t="shared" si="1"/>
        <v/>
      </c>
      <c r="AC44" s="22" t="str">
        <f t="shared" si="2"/>
        <v/>
      </c>
      <c r="AD44" s="23" t="str">
        <f>IF(AC44="","","   "&amp;INDEX(Results!$W$6:$W$18,MATCH(AC44,Results!$V$6:$V$18,1)))</f>
        <v/>
      </c>
    </row>
    <row r="45" spans="1:32" x14ac:dyDescent="0.2">
      <c r="A45" s="18">
        <f t="shared" ca="1" si="0"/>
        <v>40</v>
      </c>
      <c r="B45" s="38" t="str">
        <f>IF(Info!B45="Atlar şu ýeri","",Info!B45)</f>
        <v/>
      </c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20"/>
      <c r="AB45" s="21" t="str">
        <f t="shared" si="1"/>
        <v/>
      </c>
      <c r="AC45" s="22" t="str">
        <f t="shared" si="2"/>
        <v/>
      </c>
      <c r="AD45" s="23" t="str">
        <f>IF(AC45="","","   "&amp;INDEX(Results!$W$6:$W$18,MATCH(AC45,Results!$V$6:$V$18,1)))</f>
        <v/>
      </c>
    </row>
    <row r="46" spans="1:32" x14ac:dyDescent="0.2">
      <c r="A46" s="24" t="s">
        <v>0</v>
      </c>
      <c r="B46" s="25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96">
        <v>1</v>
      </c>
      <c r="AA46" s="27"/>
      <c r="AB46" s="28"/>
      <c r="AC46" s="29"/>
      <c r="AD46" s="30"/>
    </row>
    <row r="47" spans="1:32" x14ac:dyDescent="0.2">
      <c r="A47" s="2"/>
      <c r="B47" s="31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AA47" s="27"/>
      <c r="AB47" s="33" t="s">
        <v>155</v>
      </c>
      <c r="AC47" s="34" t="e">
        <f>AVERAGE(AC6:AC46)</f>
        <v>#DIV/0!</v>
      </c>
      <c r="AD47" s="35" t="e">
        <f>IF(AC47="","",INDEX(Results!$W$6:$W$18,MATCH(AC47,Results!$V$6:$V$18,1)))</f>
        <v>#DIV/0!</v>
      </c>
      <c r="AF47" s="36"/>
    </row>
    <row r="48" spans="1:32" x14ac:dyDescent="0.2">
      <c r="A48" s="2"/>
      <c r="B48" s="31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27"/>
      <c r="AB48" s="90"/>
      <c r="AC48" s="91"/>
      <c r="AD48" s="92"/>
      <c r="AF48" s="36"/>
    </row>
    <row r="49" spans="1:30" x14ac:dyDescent="0.2">
      <c r="A49" s="2"/>
      <c r="B49" s="37"/>
      <c r="C49" s="32"/>
      <c r="D49" s="32"/>
      <c r="E49" s="32"/>
      <c r="F49" s="32"/>
      <c r="G49" s="32"/>
      <c r="H49" s="32"/>
      <c r="I49" s="93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27"/>
      <c r="AB49" s="2"/>
      <c r="AC49" s="2"/>
      <c r="AD49" s="2"/>
    </row>
  </sheetData>
  <mergeCells count="4">
    <mergeCell ref="AB3:AB4"/>
    <mergeCell ref="AC3:AC4"/>
    <mergeCell ref="AD3:AD4"/>
    <mergeCell ref="C1:T1"/>
  </mergeCell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30</xdr:col>
                <xdr:colOff>123825</xdr:colOff>
                <xdr:row>1</xdr:row>
                <xdr:rowOff>76200</xdr:rowOff>
              </from>
              <to>
                <xdr:col>31</xdr:col>
                <xdr:colOff>923925</xdr:colOff>
                <xdr:row>2</xdr:row>
                <xdr:rowOff>552450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43"/>
  <sheetViews>
    <sheetView workbookViewId="0">
      <selection activeCell="G23" sqref="G23"/>
    </sheetView>
  </sheetViews>
  <sheetFormatPr defaultRowHeight="12.75" x14ac:dyDescent="0.2"/>
  <cols>
    <col min="1" max="1" width="3.7109375" style="1" customWidth="1"/>
    <col min="2" max="2" width="37.42578125" style="1" bestFit="1" customWidth="1"/>
    <col min="3" max="16" width="7.140625" style="1" customWidth="1"/>
    <col min="17" max="17" width="1.42578125" style="1" customWidth="1"/>
    <col min="18" max="19" width="7.5703125" style="1" customWidth="1"/>
    <col min="20" max="20" width="6.85546875" style="1" customWidth="1"/>
    <col min="21" max="21" width="5.28515625" style="1" customWidth="1"/>
    <col min="22" max="22" width="16.7109375" style="1" customWidth="1"/>
    <col min="23" max="16384" width="9.140625" style="1"/>
  </cols>
  <sheetData>
    <row r="1" spans="1:30" ht="19.5" x14ac:dyDescent="0.3">
      <c r="A1" s="2"/>
      <c r="B1" s="3" t="s">
        <v>56</v>
      </c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87"/>
      <c r="V1" s="87"/>
      <c r="W1" s="4"/>
      <c r="X1" s="4"/>
      <c r="Y1" s="4"/>
      <c r="Z1" s="4"/>
      <c r="AA1" s="4"/>
      <c r="AB1" s="4"/>
      <c r="AC1" s="6"/>
      <c r="AD1" s="6"/>
    </row>
    <row r="2" spans="1:30" ht="15" x14ac:dyDescent="0.25">
      <c r="A2" s="2"/>
      <c r="B2" s="7" t="s">
        <v>3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10"/>
    </row>
    <row r="3" spans="1:30" ht="42" customHeight="1" x14ac:dyDescent="0.25">
      <c r="A3" s="11"/>
      <c r="B3" s="12" t="s">
        <v>14</v>
      </c>
      <c r="C3" s="13" t="s">
        <v>15</v>
      </c>
      <c r="D3" s="13" t="s">
        <v>16</v>
      </c>
      <c r="E3" s="13" t="s">
        <v>17</v>
      </c>
      <c r="F3" s="13" t="s">
        <v>18</v>
      </c>
      <c r="G3" s="13" t="s">
        <v>19</v>
      </c>
      <c r="H3" s="13" t="s">
        <v>20</v>
      </c>
      <c r="I3" s="13" t="s">
        <v>21</v>
      </c>
      <c r="J3" s="13" t="s">
        <v>22</v>
      </c>
      <c r="K3" s="13" t="s">
        <v>23</v>
      </c>
      <c r="L3" s="13" t="s">
        <v>24</v>
      </c>
      <c r="M3" s="13" t="s">
        <v>25</v>
      </c>
      <c r="N3" s="13" t="s">
        <v>26</v>
      </c>
      <c r="O3" s="13" t="s">
        <v>27</v>
      </c>
      <c r="P3" s="13" t="s">
        <v>28</v>
      </c>
      <c r="Q3" s="13" t="s">
        <v>46</v>
      </c>
      <c r="R3" s="13" t="s">
        <v>47</v>
      </c>
      <c r="S3" s="13" t="s">
        <v>48</v>
      </c>
      <c r="T3" s="13" t="s">
        <v>49</v>
      </c>
      <c r="U3" s="13" t="s">
        <v>50</v>
      </c>
      <c r="V3" s="13" t="s">
        <v>51</v>
      </c>
      <c r="W3" s="13" t="s">
        <v>52</v>
      </c>
      <c r="X3" s="13" t="s">
        <v>53</v>
      </c>
      <c r="Y3" s="13" t="s">
        <v>54</v>
      </c>
      <c r="Z3" s="13" t="s">
        <v>55</v>
      </c>
      <c r="AA3" s="14"/>
      <c r="AB3" s="97" t="s">
        <v>29</v>
      </c>
      <c r="AC3" s="98" t="s">
        <v>36</v>
      </c>
      <c r="AD3" s="99" t="s">
        <v>35</v>
      </c>
    </row>
    <row r="4" spans="1:30" x14ac:dyDescent="0.2">
      <c r="A4" s="11"/>
      <c r="B4" s="15" t="s">
        <v>30</v>
      </c>
      <c r="C4" s="16">
        <v>5</v>
      </c>
      <c r="D4" s="16">
        <v>5</v>
      </c>
      <c r="E4" s="16">
        <v>5</v>
      </c>
      <c r="F4" s="16">
        <v>5</v>
      </c>
      <c r="G4" s="16">
        <v>5</v>
      </c>
      <c r="H4" s="16">
        <v>5</v>
      </c>
      <c r="I4" s="16">
        <v>5</v>
      </c>
      <c r="J4" s="16">
        <v>5</v>
      </c>
      <c r="K4" s="16">
        <v>5</v>
      </c>
      <c r="L4" s="16">
        <v>5</v>
      </c>
      <c r="M4" s="16">
        <v>5</v>
      </c>
      <c r="N4" s="16">
        <v>5</v>
      </c>
      <c r="O4" s="16">
        <v>5</v>
      </c>
      <c r="P4" s="16">
        <v>5</v>
      </c>
      <c r="Q4" s="16">
        <v>5</v>
      </c>
      <c r="R4" s="16">
        <v>5</v>
      </c>
      <c r="S4" s="16">
        <v>5</v>
      </c>
      <c r="T4" s="16">
        <v>5</v>
      </c>
      <c r="U4" s="16">
        <v>5</v>
      </c>
      <c r="V4" s="16">
        <v>5</v>
      </c>
      <c r="W4" s="16">
        <v>5</v>
      </c>
      <c r="X4" s="16">
        <v>5</v>
      </c>
      <c r="Y4" s="16">
        <v>5</v>
      </c>
      <c r="Z4" s="16">
        <v>5</v>
      </c>
      <c r="AA4" s="17"/>
      <c r="AB4" s="97"/>
      <c r="AC4" s="97"/>
      <c r="AD4" s="97"/>
    </row>
    <row r="5" spans="1:30" ht="6" customHeight="1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18">
        <f t="shared" ref="A6:A43" ca="1" si="0">OFFSET(A6,-1,0,1,1)+1</f>
        <v>1</v>
      </c>
      <c r="B6" s="38" t="str">
        <f>IF(Info!B6="Atlar şu ýeri","",Info!B6)</f>
        <v>Abdullaýewa Dinara</v>
      </c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20"/>
      <c r="AB6" s="21" t="str">
        <f t="shared" ref="AB6:AB33" si="1">IF(SUM(C6:Z6)=0,"",SUMPRODUCT(C6:Z6))</f>
        <v/>
      </c>
      <c r="AC6" s="22" t="str">
        <f t="shared" ref="AC6:AC33" si="2">IF(SUM(C6:Z6)=0,"",AB6/(SUMIF(C6:Z6,"&lt;&gt;",$C$4:$Z$4)-SUMIF(C6:Z6,"=E",$C$4:$Z$4)))</f>
        <v/>
      </c>
      <c r="AD6" s="23" t="str">
        <f>IF(AC6="","","   "&amp;INDEX(Results!$W$6:$W$18,MATCH(AC6,Results!$V$6:$V$18,1)))</f>
        <v/>
      </c>
    </row>
    <row r="7" spans="1:30" x14ac:dyDescent="0.2">
      <c r="A7" s="18">
        <f t="shared" ca="1" si="0"/>
        <v>2</v>
      </c>
      <c r="B7" s="38" t="str">
        <f>IF(Info!B7="Atlar şu ýeri","",Info!B7)</f>
        <v>Arslanow Yhlas</v>
      </c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20"/>
      <c r="AB7" s="21" t="str">
        <f t="shared" si="1"/>
        <v/>
      </c>
      <c r="AC7" s="22" t="str">
        <f t="shared" si="2"/>
        <v/>
      </c>
      <c r="AD7" s="23" t="str">
        <f>IF(AC7="","","   "&amp;INDEX(Results!$W$6:$W$18,MATCH(AC7,Results!$V$6:$V$18,1)))</f>
        <v/>
      </c>
    </row>
    <row r="8" spans="1:30" x14ac:dyDescent="0.2">
      <c r="A8" s="18">
        <f t="shared" ca="1" si="0"/>
        <v>3</v>
      </c>
      <c r="B8" s="38" t="str">
        <f>IF(Info!B8="Atlar şu ýeri","",Info!B8)</f>
        <v>Aşyrowa Maýsa</v>
      </c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20"/>
      <c r="AB8" s="21" t="str">
        <f t="shared" si="1"/>
        <v/>
      </c>
      <c r="AC8" s="22" t="str">
        <f t="shared" si="2"/>
        <v/>
      </c>
      <c r="AD8" s="23" t="str">
        <f>IF(AC8="","","   "&amp;INDEX(Results!$W$6:$W$18,MATCH(AC8,Results!$V$6:$V$18,1)))</f>
        <v/>
      </c>
    </row>
    <row r="9" spans="1:30" x14ac:dyDescent="0.2">
      <c r="A9" s="18">
        <f t="shared" ca="1" si="0"/>
        <v>4</v>
      </c>
      <c r="B9" s="38" t="str">
        <f>IF(Info!B9="Atlar şu ýeri","",Info!B9)</f>
        <v>Atabaýewa Ogulaý</v>
      </c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20"/>
      <c r="AB9" s="21" t="str">
        <f t="shared" si="1"/>
        <v/>
      </c>
      <c r="AC9" s="22" t="str">
        <f t="shared" si="2"/>
        <v/>
      </c>
      <c r="AD9" s="23" t="str">
        <f>IF(AC9="","","   "&amp;INDEX(Results!$W$6:$W$18,MATCH(AC9,Results!$V$6:$V$18,1)))</f>
        <v/>
      </c>
    </row>
    <row r="10" spans="1:30" x14ac:dyDescent="0.2">
      <c r="A10" s="18">
        <f t="shared" ca="1" si="0"/>
        <v>5</v>
      </c>
      <c r="B10" s="38" t="str">
        <f>IF(Info!B10="Atlar şu ýeri","",Info!B10)</f>
        <v>Atanazarow Meýlis</v>
      </c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20"/>
      <c r="AB10" s="21" t="str">
        <f t="shared" si="1"/>
        <v/>
      </c>
      <c r="AC10" s="22" t="str">
        <f t="shared" si="2"/>
        <v/>
      </c>
      <c r="AD10" s="23" t="str">
        <f>IF(AC10="","","   "&amp;INDEX(Results!$W$6:$W$18,MATCH(AC10,Results!$V$6:$V$18,1)))</f>
        <v/>
      </c>
    </row>
    <row r="11" spans="1:30" x14ac:dyDescent="0.2">
      <c r="A11" s="18">
        <f t="shared" ca="1" si="0"/>
        <v>6</v>
      </c>
      <c r="B11" s="38" t="str">
        <f>IF(Info!B11="Atlar şu ýeri","",Info!B11)</f>
        <v>Babajanowa Aýlar</v>
      </c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20"/>
      <c r="AB11" s="21" t="str">
        <f t="shared" si="1"/>
        <v/>
      </c>
      <c r="AC11" s="22" t="str">
        <f t="shared" si="2"/>
        <v/>
      </c>
      <c r="AD11" s="23" t="str">
        <f>IF(AC11="","","   "&amp;INDEX(Results!$W$6:$W$18,MATCH(AC11,Results!$V$6:$V$18,1)))</f>
        <v/>
      </c>
    </row>
    <row r="12" spans="1:30" x14ac:dyDescent="0.2">
      <c r="A12" s="18">
        <f t="shared" ca="1" si="0"/>
        <v>7</v>
      </c>
      <c r="B12" s="38" t="str">
        <f>IF(Info!B12="Atlar şu ýeri","",Info!B12)</f>
        <v>Babajanowa Selbi</v>
      </c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20"/>
      <c r="AB12" s="21" t="str">
        <f t="shared" si="1"/>
        <v/>
      </c>
      <c r="AC12" s="22" t="str">
        <f t="shared" si="2"/>
        <v/>
      </c>
      <c r="AD12" s="23" t="str">
        <f>IF(AC12="","","   "&amp;INDEX(Results!$W$6:$W$18,MATCH(AC12,Results!$V$6:$V$18,1)))</f>
        <v/>
      </c>
    </row>
    <row r="13" spans="1:30" x14ac:dyDescent="0.2">
      <c r="A13" s="18">
        <f t="shared" ca="1" si="0"/>
        <v>8</v>
      </c>
      <c r="B13" s="38" t="str">
        <f>IF(Info!B13="Atlar şu ýeri","",Info!B13)</f>
        <v>Ataýew Nurgeldi</v>
      </c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20"/>
      <c r="AB13" s="21" t="str">
        <f t="shared" si="1"/>
        <v/>
      </c>
      <c r="AC13" s="22" t="str">
        <f t="shared" si="2"/>
        <v/>
      </c>
      <c r="AD13" s="23" t="str">
        <f>IF(AC13="","","   "&amp;INDEX(Results!$W$6:$W$18,MATCH(AC13,Results!$V$6:$V$18,1)))</f>
        <v/>
      </c>
    </row>
    <row r="14" spans="1:30" x14ac:dyDescent="0.2">
      <c r="A14" s="18">
        <f t="shared" ca="1" si="0"/>
        <v>9</v>
      </c>
      <c r="B14" s="38" t="str">
        <f>IF(Info!B14="Atlar şu ýeri","",Info!B14)</f>
        <v>Batyrow Arafat</v>
      </c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20"/>
      <c r="AB14" s="21" t="str">
        <f t="shared" si="1"/>
        <v/>
      </c>
      <c r="AC14" s="22" t="str">
        <f t="shared" si="2"/>
        <v/>
      </c>
      <c r="AD14" s="23" t="str">
        <f>IF(AC14="","","   "&amp;INDEX(Results!$W$6:$W$18,MATCH(AC14,Results!$V$6:$V$18,1)))</f>
        <v/>
      </c>
    </row>
    <row r="15" spans="1:30" x14ac:dyDescent="0.2">
      <c r="A15" s="18">
        <f t="shared" ca="1" si="0"/>
        <v>10</v>
      </c>
      <c r="B15" s="38" t="str">
        <f>IF(Info!B15="Atlar şu ýeri","",Info!B15)</f>
        <v>Çaryýew Kemal</v>
      </c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20"/>
      <c r="AB15" s="21" t="str">
        <f t="shared" si="1"/>
        <v/>
      </c>
      <c r="AC15" s="22" t="str">
        <f t="shared" si="2"/>
        <v/>
      </c>
      <c r="AD15" s="23" t="str">
        <f>IF(AC15="","","   "&amp;INDEX(Results!$W$6:$W$18,MATCH(AC15,Results!$V$6:$V$18,1)))</f>
        <v/>
      </c>
    </row>
    <row r="16" spans="1:30" x14ac:dyDescent="0.2">
      <c r="A16" s="18">
        <f t="shared" ca="1" si="0"/>
        <v>11</v>
      </c>
      <c r="B16" s="38" t="str">
        <f>IF(Info!B16="Atlar şu ýeri","",Info!B16)</f>
        <v>Gurbanow Mekanmyrat</v>
      </c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20"/>
      <c r="AB16" s="21" t="str">
        <f t="shared" si="1"/>
        <v/>
      </c>
      <c r="AC16" s="22" t="str">
        <f t="shared" si="2"/>
        <v/>
      </c>
      <c r="AD16" s="23" t="str">
        <f>IF(AC16="","","   "&amp;INDEX(Results!$W$6:$W$18,MATCH(AC16,Results!$V$6:$V$18,1)))</f>
        <v/>
      </c>
    </row>
    <row r="17" spans="1:30" x14ac:dyDescent="0.2">
      <c r="A17" s="18">
        <f t="shared" ca="1" si="0"/>
        <v>12</v>
      </c>
      <c r="B17" s="38" t="str">
        <f>IF(Info!B17="Atlar şu ýeri","",Info!B17)</f>
        <v>Hojamuhammedow Guwanç</v>
      </c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20"/>
      <c r="AB17" s="21" t="str">
        <f t="shared" si="1"/>
        <v/>
      </c>
      <c r="AC17" s="22" t="str">
        <f t="shared" si="2"/>
        <v/>
      </c>
      <c r="AD17" s="23" t="str">
        <f>IF(AC17="","","   "&amp;INDEX(Results!$W$6:$W$18,MATCH(AC17,Results!$V$6:$V$18,1)))</f>
        <v/>
      </c>
    </row>
    <row r="18" spans="1:30" x14ac:dyDescent="0.2">
      <c r="A18" s="18">
        <f t="shared" ca="1" si="0"/>
        <v>13</v>
      </c>
      <c r="B18" s="38" t="str">
        <f>IF(Info!B18="Atlar şu ýeri","",Info!B18)</f>
        <v xml:space="preserve">Hojamämmedow  </v>
      </c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20"/>
      <c r="AB18" s="21" t="str">
        <f t="shared" si="1"/>
        <v/>
      </c>
      <c r="AC18" s="22" t="str">
        <f t="shared" si="2"/>
        <v/>
      </c>
      <c r="AD18" s="23" t="str">
        <f>IF(AC18="","","   "&amp;INDEX(Results!$W$6:$W$18,MATCH(AC18,Results!$V$6:$V$18,1)))</f>
        <v/>
      </c>
    </row>
    <row r="19" spans="1:30" x14ac:dyDescent="0.2">
      <c r="A19" s="18">
        <f t="shared" ca="1" si="0"/>
        <v>14</v>
      </c>
      <c r="B19" s="38" t="str">
        <f>IF(Info!B19="Atlar şu ýeri","",Info!B19)</f>
        <v>Hanowa Gülälek</v>
      </c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20"/>
      <c r="AB19" s="21" t="str">
        <f t="shared" si="1"/>
        <v/>
      </c>
      <c r="AC19" s="22" t="str">
        <f t="shared" si="2"/>
        <v/>
      </c>
      <c r="AD19" s="23" t="str">
        <f>IF(AC19="","","   "&amp;INDEX(Results!$W$6:$W$18,MATCH(AC19,Results!$V$6:$V$18,1)))</f>
        <v/>
      </c>
    </row>
    <row r="20" spans="1:30" x14ac:dyDescent="0.2">
      <c r="A20" s="18">
        <f t="shared" ca="1" si="0"/>
        <v>15</v>
      </c>
      <c r="B20" s="38" t="str">
        <f>IF(Info!B20="Atlar şu ýeri","",Info!B20)</f>
        <v>Husainow Serdar</v>
      </c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20"/>
      <c r="AB20" s="21" t="str">
        <f t="shared" si="1"/>
        <v/>
      </c>
      <c r="AC20" s="22" t="str">
        <f t="shared" si="2"/>
        <v/>
      </c>
      <c r="AD20" s="23" t="str">
        <f>IF(AC20="","","   "&amp;INDEX(Results!$W$6:$W$18,MATCH(AC20,Results!$V$6:$V$18,1)))</f>
        <v/>
      </c>
    </row>
    <row r="21" spans="1:30" x14ac:dyDescent="0.2">
      <c r="A21" s="18">
        <f t="shared" ca="1" si="0"/>
        <v>16</v>
      </c>
      <c r="B21" s="38" t="str">
        <f>IF(Info!B21="Atlar şu ýeri","",Info!B21)</f>
        <v>Orunowa Täçbibi</v>
      </c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20"/>
      <c r="AB21" s="21" t="str">
        <f t="shared" si="1"/>
        <v/>
      </c>
      <c r="AC21" s="22" t="str">
        <f t="shared" si="2"/>
        <v/>
      </c>
      <c r="AD21" s="23" t="str">
        <f>IF(AC21="","","   "&amp;INDEX(Results!$W$6:$W$18,MATCH(AC21,Results!$V$6:$V$18,1)))</f>
        <v/>
      </c>
    </row>
    <row r="22" spans="1:30" x14ac:dyDescent="0.2">
      <c r="A22" s="18">
        <f t="shared" ca="1" si="0"/>
        <v>17</v>
      </c>
      <c r="B22" s="38" t="str">
        <f>IF(Info!B22="Atlar şu ýeri","",Info!B22)</f>
        <v>Ilýasow Älem</v>
      </c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20"/>
      <c r="AB22" s="21" t="str">
        <f t="shared" si="1"/>
        <v/>
      </c>
      <c r="AC22" s="22" t="str">
        <f t="shared" si="2"/>
        <v/>
      </c>
      <c r="AD22" s="23" t="str">
        <f>IF(AC22="","","   "&amp;INDEX(Results!$W$6:$W$18,MATCH(AC22,Results!$V$6:$V$18,1)))</f>
        <v/>
      </c>
    </row>
    <row r="23" spans="1:30" x14ac:dyDescent="0.2">
      <c r="A23" s="18">
        <f t="shared" ca="1" si="0"/>
        <v>18</v>
      </c>
      <c r="B23" s="38" t="str">
        <f>IF(Info!B23="Atlar şu ýeri","",Info!B23)</f>
        <v>Karabaýew Begli</v>
      </c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20"/>
      <c r="AB23" s="21" t="str">
        <f t="shared" si="1"/>
        <v/>
      </c>
      <c r="AC23" s="22" t="str">
        <f t="shared" si="2"/>
        <v/>
      </c>
      <c r="AD23" s="23" t="str">
        <f>IF(AC23="","","   "&amp;INDEX(Results!$W$6:$W$18,MATCH(AC23,Results!$V$6:$V$18,1)))</f>
        <v/>
      </c>
    </row>
    <row r="24" spans="1:30" x14ac:dyDescent="0.2">
      <c r="A24" s="18">
        <f t="shared" ca="1" si="0"/>
        <v>19</v>
      </c>
      <c r="B24" s="38" t="str">
        <f>IF(Info!B24="Atlar şu ýeri","",Info!B24)</f>
        <v>Kurbanow Wekil</v>
      </c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20"/>
      <c r="AB24" s="21" t="str">
        <f t="shared" si="1"/>
        <v/>
      </c>
      <c r="AC24" s="22" t="str">
        <f t="shared" si="2"/>
        <v/>
      </c>
      <c r="AD24" s="23" t="str">
        <f>IF(AC24="","","   "&amp;INDEX(Results!$W$6:$W$18,MATCH(AC24,Results!$V$6:$V$18,1)))</f>
        <v/>
      </c>
    </row>
    <row r="25" spans="1:30" x14ac:dyDescent="0.2">
      <c r="A25" s="18">
        <f t="shared" ca="1" si="0"/>
        <v>20</v>
      </c>
      <c r="B25" s="38" t="str">
        <f>IF(Info!B25="Atlar şu ýeri","",Info!B25)</f>
        <v>Madraimow Seidjan</v>
      </c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20"/>
      <c r="AB25" s="21" t="str">
        <f t="shared" si="1"/>
        <v/>
      </c>
      <c r="AC25" s="22" t="str">
        <f t="shared" si="2"/>
        <v/>
      </c>
      <c r="AD25" s="23" t="str">
        <f>IF(AC25="","","   "&amp;INDEX(Results!$W$6:$W$18,MATCH(AC25,Results!$V$6:$V$18,1)))</f>
        <v/>
      </c>
    </row>
    <row r="26" spans="1:30" x14ac:dyDescent="0.2">
      <c r="A26" s="18">
        <f t="shared" ca="1" si="0"/>
        <v>21</v>
      </c>
      <c r="B26" s="38" t="str">
        <f>IF(Info!B26="Atlar şu ýeri","",Info!B26)</f>
        <v>Matmuradowa Gulnur</v>
      </c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20"/>
      <c r="AB26" s="21" t="str">
        <f t="shared" si="1"/>
        <v/>
      </c>
      <c r="AC26" s="22" t="str">
        <f t="shared" si="2"/>
        <v/>
      </c>
      <c r="AD26" s="23" t="str">
        <f>IF(AC26="","","   "&amp;INDEX(Results!$W$6:$W$18,MATCH(AC26,Results!$V$6:$V$18,1)))</f>
        <v/>
      </c>
    </row>
    <row r="27" spans="1:30" x14ac:dyDescent="0.2">
      <c r="A27" s="18">
        <f t="shared" ca="1" si="0"/>
        <v>22</v>
      </c>
      <c r="B27" s="38" t="str">
        <f>IF(Info!B27="Atlar şu ýeri","",Info!B27)</f>
        <v>Myradowa Aýjahan</v>
      </c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20"/>
      <c r="AB27" s="21" t="str">
        <f t="shared" si="1"/>
        <v/>
      </c>
      <c r="AC27" s="22" t="str">
        <f t="shared" si="2"/>
        <v/>
      </c>
      <c r="AD27" s="23" t="str">
        <f>IF(AC27="","","   "&amp;INDEX(Results!$W$6:$W$18,MATCH(AC27,Results!$V$6:$V$18,1)))</f>
        <v/>
      </c>
    </row>
    <row r="28" spans="1:30" x14ac:dyDescent="0.2">
      <c r="A28" s="18">
        <f t="shared" ca="1" si="0"/>
        <v>23</v>
      </c>
      <c r="B28" s="38" t="str">
        <f>IF(Info!B28="Atlar şu ýeri","",Info!B28)</f>
        <v>Osmanowa Ýyldyz</v>
      </c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20"/>
      <c r="AB28" s="21" t="str">
        <f t="shared" si="1"/>
        <v/>
      </c>
      <c r="AC28" s="22" t="str">
        <f t="shared" si="2"/>
        <v/>
      </c>
      <c r="AD28" s="23" t="str">
        <f>IF(AC28="","","   "&amp;INDEX(Results!$W$6:$W$18,MATCH(AC28,Results!$V$6:$V$18,1)))</f>
        <v/>
      </c>
    </row>
    <row r="29" spans="1:30" x14ac:dyDescent="0.2">
      <c r="A29" s="18">
        <f t="shared" ca="1" si="0"/>
        <v>24</v>
      </c>
      <c r="B29" s="38" t="str">
        <f>IF(Info!B29="Atlar şu ýeri","",Info!B29)</f>
        <v>Orazowa Aýnur</v>
      </c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20"/>
      <c r="AB29" s="21" t="str">
        <f t="shared" si="1"/>
        <v/>
      </c>
      <c r="AC29" s="22" t="str">
        <f t="shared" si="2"/>
        <v/>
      </c>
      <c r="AD29" s="23" t="str">
        <f>IF(AC29="","","   "&amp;INDEX(Results!$W$6:$W$18,MATCH(AC29,Results!$V$6:$V$18,1)))</f>
        <v/>
      </c>
    </row>
    <row r="30" spans="1:30" x14ac:dyDescent="0.2">
      <c r="A30" s="18">
        <f t="shared" ca="1" si="0"/>
        <v>25</v>
      </c>
      <c r="B30" s="38" t="str">
        <f>IF(Info!B30="Atlar şu ýeri","",Info!B30)</f>
        <v>Orunowa Aýjemal</v>
      </c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20"/>
      <c r="AB30" s="21" t="str">
        <f t="shared" si="1"/>
        <v/>
      </c>
      <c r="AC30" s="22" t="str">
        <f t="shared" si="2"/>
        <v/>
      </c>
      <c r="AD30" s="23" t="str">
        <f>IF(AC30="","","   "&amp;INDEX(Results!$W$6:$W$18,MATCH(AC30,Results!$V$6:$V$18,1)))</f>
        <v/>
      </c>
    </row>
    <row r="31" spans="1:30" x14ac:dyDescent="0.2">
      <c r="A31" s="18">
        <f t="shared" ca="1" si="0"/>
        <v>26</v>
      </c>
      <c r="B31" s="38" t="str">
        <f>IF(Info!B31="Atlar şu ýeri","",Info!B31)</f>
        <v>Öwezow Döwlet</v>
      </c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20"/>
      <c r="AB31" s="21" t="str">
        <f t="shared" si="1"/>
        <v/>
      </c>
      <c r="AC31" s="22" t="str">
        <f t="shared" si="2"/>
        <v/>
      </c>
      <c r="AD31" s="23" t="str">
        <f>IF(AC31="","","   "&amp;INDEX(Results!$W$6:$W$18,MATCH(AC31,Results!$V$6:$V$18,1)))</f>
        <v/>
      </c>
    </row>
    <row r="32" spans="1:30" x14ac:dyDescent="0.2">
      <c r="A32" s="18">
        <f t="shared" ca="1" si="0"/>
        <v>27</v>
      </c>
      <c r="B32" s="38" t="str">
        <f>IF(Info!B32="Atlar şu ýeri","",Info!B32)</f>
        <v>Piriýew Aýhan</v>
      </c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20"/>
      <c r="AB32" s="21" t="str">
        <f t="shared" si="1"/>
        <v/>
      </c>
      <c r="AC32" s="22" t="str">
        <f t="shared" si="2"/>
        <v/>
      </c>
      <c r="AD32" s="23" t="str">
        <f>IF(AC32="","","   "&amp;INDEX(Results!$W$6:$W$18,MATCH(AC32,Results!$V$6:$V$18,1)))</f>
        <v/>
      </c>
    </row>
    <row r="33" spans="1:30" x14ac:dyDescent="0.2">
      <c r="A33" s="18">
        <f t="shared" ca="1" si="0"/>
        <v>28</v>
      </c>
      <c r="B33" s="38" t="str">
        <f>IF(Info!B33="Atlar şu ýeri","",Info!B33)</f>
        <v>Taganow Sanjar</v>
      </c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20"/>
      <c r="AB33" s="21" t="str">
        <f t="shared" si="1"/>
        <v/>
      </c>
      <c r="AC33" s="22" t="str">
        <f t="shared" si="2"/>
        <v/>
      </c>
      <c r="AD33" s="23" t="str">
        <f>IF(AC33="","","   "&amp;INDEX(Results!$W$6:$W$18,MATCH(AC33,Results!$V$6:$V$18,1)))</f>
        <v/>
      </c>
    </row>
    <row r="34" spans="1:30" x14ac:dyDescent="0.2">
      <c r="A34" s="18">
        <f t="shared" ca="1" si="0"/>
        <v>29</v>
      </c>
      <c r="B34" s="38" t="str">
        <f>IF(Info!B40="Atlar şu ýeri","",Info!B40)</f>
        <v/>
      </c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20"/>
      <c r="AB34" s="21"/>
      <c r="AC34" s="22"/>
      <c r="AD34" s="23"/>
    </row>
    <row r="35" spans="1:30" x14ac:dyDescent="0.2">
      <c r="A35" s="18">
        <f t="shared" ca="1" si="0"/>
        <v>30</v>
      </c>
      <c r="B35" s="38" t="str">
        <f>IF(Info!B35="Atlar şu ýeri","",Info!B35)</f>
        <v>Ýagşybaýew Muhammet</v>
      </c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20"/>
      <c r="AB35" s="21"/>
      <c r="AC35" s="22"/>
      <c r="AD35" s="23"/>
    </row>
    <row r="36" spans="1:30" ht="6.75" customHeight="1" x14ac:dyDescent="0.2">
      <c r="A36" s="18">
        <f t="shared" ca="1" si="0"/>
        <v>31</v>
      </c>
      <c r="B36" s="38" t="str">
        <f>IF(Info!B36="Atlar şu ýeri","",Info!B36)</f>
        <v>Ýazberdiýewa Söýli</v>
      </c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20"/>
      <c r="AB36" s="21"/>
      <c r="AC36" s="22"/>
      <c r="AD36" s="23"/>
    </row>
    <row r="37" spans="1:30" x14ac:dyDescent="0.2">
      <c r="A37" s="18">
        <f t="shared" ca="1" si="0"/>
        <v>32</v>
      </c>
      <c r="B37" s="38" t="str">
        <f>IF(Info!B37="Atlar şu ýeri","",Info!B37)</f>
        <v>Ýazyýewa Meňli</v>
      </c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20"/>
      <c r="AB37" s="21"/>
      <c r="AC37" s="22"/>
      <c r="AD37" s="23"/>
    </row>
    <row r="38" spans="1:30" x14ac:dyDescent="0.2">
      <c r="A38" s="18">
        <f t="shared" ca="1" si="0"/>
        <v>33</v>
      </c>
      <c r="B38" s="38" t="str">
        <f>IF(Info!B38="Atlar şu ýeri","",Info!B38)</f>
        <v>Ýunusow Ýunus</v>
      </c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20"/>
      <c r="AB38" s="21"/>
      <c r="AC38" s="22"/>
      <c r="AD38" s="23"/>
    </row>
    <row r="39" spans="1:30" x14ac:dyDescent="0.2">
      <c r="A39" s="18">
        <f t="shared" ca="1" si="0"/>
        <v>34</v>
      </c>
      <c r="B39" s="38" t="str">
        <f>IF(Info!B39="Atlar şu ýeri","",Info!B39)</f>
        <v>Ýusupowa  Jahan</v>
      </c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20"/>
      <c r="AB39" s="21"/>
      <c r="AC39" s="22"/>
      <c r="AD39" s="23"/>
    </row>
    <row r="40" spans="1:30" x14ac:dyDescent="0.2">
      <c r="A40" s="18">
        <f t="shared" ca="1" si="0"/>
        <v>35</v>
      </c>
      <c r="B40" s="38" t="str">
        <f>IF(Info!B40="Atlar şu ýeri","",Info!B40)</f>
        <v/>
      </c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20"/>
      <c r="AB40" s="21"/>
      <c r="AC40" s="22"/>
      <c r="AD40" s="23"/>
    </row>
    <row r="41" spans="1:30" x14ac:dyDescent="0.2">
      <c r="A41" s="18">
        <f t="shared" ca="1" si="0"/>
        <v>36</v>
      </c>
      <c r="B41" s="38" t="str">
        <f>IF(Info!B41="Atlar şu ýeri","",Info!B41)</f>
        <v/>
      </c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20"/>
      <c r="AB41" s="21"/>
      <c r="AC41" s="22"/>
      <c r="AD41" s="23"/>
    </row>
    <row r="42" spans="1:30" x14ac:dyDescent="0.2">
      <c r="A42" s="18">
        <f t="shared" ca="1" si="0"/>
        <v>37</v>
      </c>
      <c r="B42" s="38" t="str">
        <f>IF(Info!B42="Atlar şu ýeri","",Info!B42)</f>
        <v/>
      </c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20"/>
      <c r="AB42" s="21"/>
      <c r="AC42" s="22"/>
      <c r="AD42" s="23"/>
    </row>
    <row r="43" spans="1:30" x14ac:dyDescent="0.2">
      <c r="A43" s="18">
        <f t="shared" ca="1" si="0"/>
        <v>38</v>
      </c>
      <c r="B43" s="38" t="str">
        <f>IF(Info!B43="Atlar şu ýeri","",Info!B43)</f>
        <v/>
      </c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20"/>
      <c r="AB43" s="21"/>
      <c r="AC43" s="22"/>
      <c r="AD43" s="23"/>
    </row>
  </sheetData>
  <mergeCells count="4">
    <mergeCell ref="AB3:AB4"/>
    <mergeCell ref="AC3:AC4"/>
    <mergeCell ref="AD3:AD4"/>
    <mergeCell ref="C1:T1"/>
  </mergeCell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F49"/>
  <sheetViews>
    <sheetView tabSelected="1" topLeftCell="J1" workbookViewId="0">
      <selection activeCell="X10" sqref="X10"/>
    </sheetView>
  </sheetViews>
  <sheetFormatPr defaultRowHeight="12.75" x14ac:dyDescent="0.2"/>
  <cols>
    <col min="1" max="1" width="3.7109375" style="1" customWidth="1"/>
    <col min="2" max="2" width="37.42578125" style="1" bestFit="1" customWidth="1"/>
    <col min="3" max="3" width="9" style="1" bestFit="1" customWidth="1"/>
    <col min="4" max="16" width="9" style="1" customWidth="1"/>
    <col min="17" max="18" width="7.140625" style="1" customWidth="1"/>
    <col min="19" max="19" width="7.85546875" style="1" bestFit="1" customWidth="1"/>
    <col min="20" max="26" width="7.140625" style="1" customWidth="1"/>
    <col min="27" max="27" width="1.42578125" style="1" customWidth="1"/>
    <col min="28" max="28" width="7.5703125" style="1" customWidth="1"/>
    <col min="29" max="29" width="10.5703125" style="1" bestFit="1" customWidth="1"/>
    <col min="30" max="30" width="6.85546875" style="1" customWidth="1"/>
    <col min="31" max="31" width="5.28515625" style="1" customWidth="1"/>
    <col min="32" max="32" width="16.7109375" style="1" customWidth="1"/>
    <col min="33" max="16384" width="9.140625" style="1"/>
  </cols>
  <sheetData>
    <row r="1" spans="1:30" ht="19.5" x14ac:dyDescent="0.3">
      <c r="A1" s="2"/>
      <c r="B1" s="3" t="s">
        <v>153</v>
      </c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87"/>
      <c r="V1" s="87"/>
      <c r="W1" s="4"/>
      <c r="X1" s="4"/>
      <c r="Y1" s="4"/>
      <c r="Z1" s="4"/>
      <c r="AA1" s="4"/>
      <c r="AB1" s="4"/>
      <c r="AC1" s="6"/>
      <c r="AD1" s="6"/>
    </row>
    <row r="2" spans="1:30" ht="15" x14ac:dyDescent="0.25">
      <c r="A2" s="2"/>
      <c r="B2" s="7" t="s">
        <v>163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10"/>
    </row>
    <row r="3" spans="1:30" ht="42" customHeight="1" x14ac:dyDescent="0.25">
      <c r="A3" s="11"/>
      <c r="B3" s="12" t="s">
        <v>148</v>
      </c>
      <c r="C3" s="13" t="s">
        <v>124</v>
      </c>
      <c r="D3" s="13" t="s">
        <v>125</v>
      </c>
      <c r="E3" s="13" t="s">
        <v>126</v>
      </c>
      <c r="F3" s="13" t="s">
        <v>127</v>
      </c>
      <c r="G3" s="13" t="s">
        <v>128</v>
      </c>
      <c r="H3" s="13" t="s">
        <v>129</v>
      </c>
      <c r="I3" s="13" t="s">
        <v>130</v>
      </c>
      <c r="J3" s="13" t="s">
        <v>131</v>
      </c>
      <c r="K3" s="13" t="s">
        <v>132</v>
      </c>
      <c r="L3" s="13" t="s">
        <v>133</v>
      </c>
      <c r="M3" s="13" t="s">
        <v>134</v>
      </c>
      <c r="N3" s="13" t="s">
        <v>135</v>
      </c>
      <c r="O3" s="13" t="s">
        <v>136</v>
      </c>
      <c r="P3" s="13" t="s">
        <v>137</v>
      </c>
      <c r="Q3" s="13" t="s">
        <v>138</v>
      </c>
      <c r="R3" s="13" t="s">
        <v>139</v>
      </c>
      <c r="S3" s="13" t="s">
        <v>140</v>
      </c>
      <c r="T3" s="13" t="s">
        <v>141</v>
      </c>
      <c r="U3" s="13" t="s">
        <v>142</v>
      </c>
      <c r="V3" s="13" t="s">
        <v>143</v>
      </c>
      <c r="W3" s="13" t="s">
        <v>144</v>
      </c>
      <c r="X3" s="13" t="s">
        <v>145</v>
      </c>
      <c r="Y3" s="13" t="s">
        <v>146</v>
      </c>
      <c r="Z3" s="13" t="s">
        <v>147</v>
      </c>
      <c r="AA3" s="14"/>
      <c r="AB3" s="97" t="s">
        <v>156</v>
      </c>
      <c r="AC3" s="98" t="s">
        <v>157</v>
      </c>
      <c r="AD3" s="99" t="s">
        <v>158</v>
      </c>
    </row>
    <row r="4" spans="1:30" x14ac:dyDescent="0.2">
      <c r="A4" s="11"/>
      <c r="B4" s="15" t="s">
        <v>154</v>
      </c>
      <c r="C4" s="16">
        <v>5</v>
      </c>
      <c r="D4" s="16">
        <v>5</v>
      </c>
      <c r="E4" s="16">
        <v>5</v>
      </c>
      <c r="F4" s="16">
        <v>5</v>
      </c>
      <c r="G4" s="16">
        <v>5</v>
      </c>
      <c r="H4" s="16">
        <v>5</v>
      </c>
      <c r="I4" s="16">
        <v>5</v>
      </c>
      <c r="J4" s="16">
        <v>5</v>
      </c>
      <c r="K4" s="16">
        <v>5</v>
      </c>
      <c r="L4" s="16">
        <v>5</v>
      </c>
      <c r="M4" s="16">
        <v>5</v>
      </c>
      <c r="N4" s="16">
        <v>5</v>
      </c>
      <c r="O4" s="16">
        <v>5</v>
      </c>
      <c r="P4" s="16">
        <v>5</v>
      </c>
      <c r="Q4" s="16">
        <v>5</v>
      </c>
      <c r="R4" s="16">
        <v>5</v>
      </c>
      <c r="S4" s="16">
        <v>5</v>
      </c>
      <c r="T4" s="16">
        <v>5</v>
      </c>
      <c r="U4" s="16">
        <v>5</v>
      </c>
      <c r="V4" s="16">
        <v>5</v>
      </c>
      <c r="W4" s="16">
        <v>5</v>
      </c>
      <c r="X4" s="16">
        <v>5</v>
      </c>
      <c r="Y4" s="16">
        <v>5</v>
      </c>
      <c r="Z4" s="16">
        <v>5</v>
      </c>
      <c r="AA4" s="17"/>
      <c r="AB4" s="97"/>
      <c r="AC4" s="97"/>
      <c r="AD4" s="97"/>
    </row>
    <row r="5" spans="1:30" ht="6" customHeight="1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18">
        <f t="shared" ref="A6:A45" ca="1" si="0">OFFSET(A6,-1,0,1,1)+1</f>
        <v>1</v>
      </c>
      <c r="B6" s="38" t="str">
        <f>IF(Info!B6="Atlar şu ýeri","",Info!B6)</f>
        <v>Abdullaýewa Dinara</v>
      </c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20"/>
      <c r="AB6" s="21" t="str">
        <f>IF(SUM(C6:Z6)=0,"",SUMPRODUCT(C6:Z6))</f>
        <v/>
      </c>
      <c r="AC6" s="22" t="str">
        <f>IF(SUM(C6:Z6)=0,"",AB6/(SUMIF(C6:Z6,"&lt;&gt;",$C$4:$Z$4)-SUMIF(C6:Z6,"=E",$C$4:$Z$4)))</f>
        <v/>
      </c>
      <c r="AD6" s="23" t="str">
        <f>IF(AC6="","","   "&amp;INDEX(Results!$W$6:$W$18,MATCH(AC6,Results!$V$6:$V$18,1)))</f>
        <v/>
      </c>
    </row>
    <row r="7" spans="1:30" x14ac:dyDescent="0.2">
      <c r="A7" s="18">
        <f t="shared" ca="1" si="0"/>
        <v>2</v>
      </c>
      <c r="B7" s="38" t="str">
        <f>IF(Info!B7="Atlar şu ýeri","",Info!B7)</f>
        <v>Arslanow Yhlas</v>
      </c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20"/>
      <c r="AB7" s="21" t="str">
        <f t="shared" ref="AB7:AB45" si="1">IF(SUM(C7:Z7)=0,"",SUMPRODUCT(C7:Z7))</f>
        <v/>
      </c>
      <c r="AC7" s="22" t="str">
        <f t="shared" ref="AC7:AC45" si="2">IF(SUM(C7:Z7)=0,"",AB7/(SUMIF(C7:Z7,"&lt;&gt;",$C$4:$Z$4)-SUMIF(C7:Z7,"=E",$C$4:$Z$4)))</f>
        <v/>
      </c>
      <c r="AD7" s="23" t="str">
        <f>IF(AC7="","","   "&amp;INDEX(Results!$W$6:$W$18,MATCH(AC7,Results!$V$6:$V$18,1)))</f>
        <v/>
      </c>
    </row>
    <row r="8" spans="1:30" x14ac:dyDescent="0.2">
      <c r="A8" s="18">
        <f t="shared" ca="1" si="0"/>
        <v>3</v>
      </c>
      <c r="B8" s="38" t="str">
        <f>IF(Info!B8="Atlar şu ýeri","",Info!B8)</f>
        <v>Aşyrowa Maýsa</v>
      </c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20"/>
      <c r="AB8" s="21" t="str">
        <f t="shared" si="1"/>
        <v/>
      </c>
      <c r="AC8" s="22" t="str">
        <f t="shared" si="2"/>
        <v/>
      </c>
      <c r="AD8" s="23" t="str">
        <f>IF(AC8="","","   "&amp;INDEX(Results!$W$6:$W$18,MATCH(AC8,Results!$V$6:$V$18,1)))</f>
        <v/>
      </c>
    </row>
    <row r="9" spans="1:30" x14ac:dyDescent="0.2">
      <c r="A9" s="18">
        <f t="shared" ca="1" si="0"/>
        <v>4</v>
      </c>
      <c r="B9" s="38" t="str">
        <f>IF(Info!B9="Atlar şu ýeri","",Info!B9)</f>
        <v>Atabaýewa Ogulaý</v>
      </c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20"/>
      <c r="AB9" s="21" t="str">
        <f t="shared" si="1"/>
        <v/>
      </c>
      <c r="AC9" s="22" t="str">
        <f t="shared" si="2"/>
        <v/>
      </c>
      <c r="AD9" s="23" t="str">
        <f>IF(AC9="","","   "&amp;INDEX(Results!$W$6:$W$18,MATCH(AC9,Results!$V$6:$V$18,1)))</f>
        <v/>
      </c>
    </row>
    <row r="10" spans="1:30" x14ac:dyDescent="0.2">
      <c r="A10" s="18">
        <f t="shared" ca="1" si="0"/>
        <v>5</v>
      </c>
      <c r="B10" s="38" t="str">
        <f>IF(Info!B10="Atlar şu ýeri","",Info!B10)</f>
        <v>Atanazarow Meýlis</v>
      </c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20"/>
      <c r="AB10" s="21" t="str">
        <f t="shared" si="1"/>
        <v/>
      </c>
      <c r="AC10" s="22" t="str">
        <f t="shared" si="2"/>
        <v/>
      </c>
      <c r="AD10" s="23" t="str">
        <f>IF(AC10="","","   "&amp;INDEX(Results!$W$6:$W$18,MATCH(AC10,Results!$V$6:$V$18,1)))</f>
        <v/>
      </c>
    </row>
    <row r="11" spans="1:30" x14ac:dyDescent="0.2">
      <c r="A11" s="18">
        <f t="shared" ca="1" si="0"/>
        <v>6</v>
      </c>
      <c r="B11" s="38" t="str">
        <f>IF(Info!B11="Atlar şu ýeri","",Info!B11)</f>
        <v>Babajanowa Aýlar</v>
      </c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20"/>
      <c r="AB11" s="21" t="str">
        <f t="shared" si="1"/>
        <v/>
      </c>
      <c r="AC11" s="22" t="str">
        <f t="shared" si="2"/>
        <v/>
      </c>
      <c r="AD11" s="23" t="str">
        <f>IF(AC11="","","   "&amp;INDEX(Results!$W$6:$W$18,MATCH(AC11,Results!$V$6:$V$18,1)))</f>
        <v/>
      </c>
    </row>
    <row r="12" spans="1:30" x14ac:dyDescent="0.2">
      <c r="A12" s="18">
        <f t="shared" ca="1" si="0"/>
        <v>7</v>
      </c>
      <c r="B12" s="38" t="str">
        <f>IF(Info!B12="Atlar şu ýeri","",Info!B12)</f>
        <v>Babajanowa Selbi</v>
      </c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20"/>
      <c r="AB12" s="21" t="str">
        <f t="shared" si="1"/>
        <v/>
      </c>
      <c r="AC12" s="22" t="str">
        <f t="shared" si="2"/>
        <v/>
      </c>
      <c r="AD12" s="23" t="str">
        <f>IF(AC12="","","   "&amp;INDEX(Results!$W$6:$W$18,MATCH(AC12,Results!$V$6:$V$18,1)))</f>
        <v/>
      </c>
    </row>
    <row r="13" spans="1:30" x14ac:dyDescent="0.2">
      <c r="A13" s="18">
        <f t="shared" ca="1" si="0"/>
        <v>8</v>
      </c>
      <c r="B13" s="38" t="str">
        <f>IF(Info!B13="Atlar şu ýeri","",Info!B13)</f>
        <v>Ataýew Nurgeldi</v>
      </c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20"/>
      <c r="AB13" s="21" t="str">
        <f t="shared" si="1"/>
        <v/>
      </c>
      <c r="AC13" s="22" t="str">
        <f t="shared" si="2"/>
        <v/>
      </c>
      <c r="AD13" s="23" t="str">
        <f>IF(AC13="","","   "&amp;INDEX(Results!$W$6:$W$18,MATCH(AC13,Results!$V$6:$V$18,1)))</f>
        <v/>
      </c>
    </row>
    <row r="14" spans="1:30" x14ac:dyDescent="0.2">
      <c r="A14" s="18">
        <f t="shared" ca="1" si="0"/>
        <v>9</v>
      </c>
      <c r="B14" s="38" t="str">
        <f>IF(Info!B14="Atlar şu ýeri","",Info!B14)</f>
        <v>Batyrow Arafat</v>
      </c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20"/>
      <c r="AB14" s="21" t="str">
        <f t="shared" si="1"/>
        <v/>
      </c>
      <c r="AC14" s="22" t="str">
        <f t="shared" si="2"/>
        <v/>
      </c>
      <c r="AD14" s="23" t="str">
        <f>IF(AC14="","","   "&amp;INDEX(Results!$W$6:$W$18,MATCH(AC14,Results!$V$6:$V$18,1)))</f>
        <v/>
      </c>
    </row>
    <row r="15" spans="1:30" x14ac:dyDescent="0.2">
      <c r="A15" s="18">
        <f t="shared" ca="1" si="0"/>
        <v>10</v>
      </c>
      <c r="B15" s="38" t="str">
        <f>IF(Info!B15="Atlar şu ýeri","",Info!B15)</f>
        <v>Çaryýew Kemal</v>
      </c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20"/>
      <c r="AB15" s="21" t="str">
        <f t="shared" si="1"/>
        <v/>
      </c>
      <c r="AC15" s="22" t="str">
        <f t="shared" si="2"/>
        <v/>
      </c>
      <c r="AD15" s="23" t="str">
        <f>IF(AC15="","","   "&amp;INDEX(Results!$W$6:$W$18,MATCH(AC15,Results!$V$6:$V$18,1)))</f>
        <v/>
      </c>
    </row>
    <row r="16" spans="1:30" x14ac:dyDescent="0.2">
      <c r="A16" s="18">
        <f t="shared" ca="1" si="0"/>
        <v>11</v>
      </c>
      <c r="B16" s="38" t="str">
        <f>IF(Info!B16="Atlar şu ýeri","",Info!B16)</f>
        <v>Gurbanow Mekanmyrat</v>
      </c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20"/>
      <c r="AB16" s="21" t="str">
        <f t="shared" si="1"/>
        <v/>
      </c>
      <c r="AC16" s="22" t="str">
        <f t="shared" si="2"/>
        <v/>
      </c>
      <c r="AD16" s="23" t="str">
        <f>IF(AC16="","","   "&amp;INDEX(Results!$W$6:$W$18,MATCH(AC16,Results!$V$6:$V$18,1)))</f>
        <v/>
      </c>
    </row>
    <row r="17" spans="1:30" x14ac:dyDescent="0.2">
      <c r="A17" s="18">
        <f t="shared" ca="1" si="0"/>
        <v>12</v>
      </c>
      <c r="B17" s="38" t="str">
        <f>IF(Info!B17="Atlar şu ýeri","",Info!B17)</f>
        <v>Hojamuhammedow Guwanç</v>
      </c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20"/>
      <c r="AB17" s="21" t="str">
        <f t="shared" si="1"/>
        <v/>
      </c>
      <c r="AC17" s="22" t="str">
        <f t="shared" si="2"/>
        <v/>
      </c>
      <c r="AD17" s="23" t="str">
        <f>IF(AC17="","","   "&amp;INDEX(Results!$W$6:$W$18,MATCH(AC17,Results!$V$6:$V$18,1)))</f>
        <v/>
      </c>
    </row>
    <row r="18" spans="1:30" x14ac:dyDescent="0.2">
      <c r="A18" s="18">
        <f t="shared" ca="1" si="0"/>
        <v>13</v>
      </c>
      <c r="B18" s="38" t="str">
        <f>IF(Info!B18="Atlar şu ýeri","",Info!B18)</f>
        <v xml:space="preserve">Hojamämmedow  </v>
      </c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20"/>
      <c r="AB18" s="21" t="str">
        <f t="shared" si="1"/>
        <v/>
      </c>
      <c r="AC18" s="22" t="str">
        <f t="shared" si="2"/>
        <v/>
      </c>
      <c r="AD18" s="23" t="str">
        <f>IF(AC18="","","   "&amp;INDEX(Results!$W$6:$W$18,MATCH(AC18,Results!$V$6:$V$18,1)))</f>
        <v/>
      </c>
    </row>
    <row r="19" spans="1:30" x14ac:dyDescent="0.2">
      <c r="A19" s="18">
        <f t="shared" ca="1" si="0"/>
        <v>14</v>
      </c>
      <c r="B19" s="38" t="str">
        <f>IF(Info!B19="Atlar şu ýeri","",Info!B19)</f>
        <v>Hanowa Gülälek</v>
      </c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20"/>
      <c r="AB19" s="21" t="str">
        <f t="shared" si="1"/>
        <v/>
      </c>
      <c r="AC19" s="22" t="str">
        <f t="shared" si="2"/>
        <v/>
      </c>
      <c r="AD19" s="23" t="str">
        <f>IF(AC19="","","   "&amp;INDEX(Results!$W$6:$W$18,MATCH(AC19,Results!$V$6:$V$18,1)))</f>
        <v/>
      </c>
    </row>
    <row r="20" spans="1:30" x14ac:dyDescent="0.2">
      <c r="A20" s="18">
        <f t="shared" ca="1" si="0"/>
        <v>15</v>
      </c>
      <c r="B20" s="38" t="str">
        <f>IF(Info!B20="Atlar şu ýeri","",Info!B20)</f>
        <v>Husainow Serdar</v>
      </c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20"/>
      <c r="AB20" s="21" t="str">
        <f t="shared" si="1"/>
        <v/>
      </c>
      <c r="AC20" s="22" t="str">
        <f t="shared" si="2"/>
        <v/>
      </c>
      <c r="AD20" s="23" t="str">
        <f>IF(AC20="","","   "&amp;INDEX(Results!$W$6:$W$18,MATCH(AC20,Results!$V$6:$V$18,1)))</f>
        <v/>
      </c>
    </row>
    <row r="21" spans="1:30" x14ac:dyDescent="0.2">
      <c r="A21" s="18">
        <f t="shared" ca="1" si="0"/>
        <v>16</v>
      </c>
      <c r="B21" s="38" t="str">
        <f>IF(Info!B21="Atlar şu ýeri","",Info!B21)</f>
        <v>Orunowa Täçbibi</v>
      </c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20"/>
      <c r="AB21" s="21" t="str">
        <f t="shared" si="1"/>
        <v/>
      </c>
      <c r="AC21" s="22" t="str">
        <f t="shared" si="2"/>
        <v/>
      </c>
      <c r="AD21" s="23" t="str">
        <f>IF(AC21="","","   "&amp;INDEX(Results!$W$6:$W$18,MATCH(AC21,Results!$V$6:$V$18,1)))</f>
        <v/>
      </c>
    </row>
    <row r="22" spans="1:30" x14ac:dyDescent="0.2">
      <c r="A22" s="18">
        <f t="shared" ca="1" si="0"/>
        <v>17</v>
      </c>
      <c r="B22" s="38" t="str">
        <f>IF(Info!B22="Atlar şu ýeri","",Info!B22)</f>
        <v>Ilýasow Älem</v>
      </c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20"/>
      <c r="AB22" s="21" t="str">
        <f t="shared" si="1"/>
        <v/>
      </c>
      <c r="AC22" s="22" t="str">
        <f t="shared" si="2"/>
        <v/>
      </c>
      <c r="AD22" s="23" t="str">
        <f>IF(AC22="","","   "&amp;INDEX(Results!$W$6:$W$18,MATCH(AC22,Results!$V$6:$V$18,1)))</f>
        <v/>
      </c>
    </row>
    <row r="23" spans="1:30" x14ac:dyDescent="0.2">
      <c r="A23" s="18">
        <f t="shared" ca="1" si="0"/>
        <v>18</v>
      </c>
      <c r="B23" s="38" t="str">
        <f>IF(Info!B23="Atlar şu ýeri","",Info!B23)</f>
        <v>Karabaýew Begli</v>
      </c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20"/>
      <c r="AB23" s="21" t="str">
        <f t="shared" si="1"/>
        <v/>
      </c>
      <c r="AC23" s="22" t="str">
        <f t="shared" si="2"/>
        <v/>
      </c>
      <c r="AD23" s="23" t="str">
        <f>IF(AC23="","","   "&amp;INDEX(Results!$W$6:$W$18,MATCH(AC23,Results!$V$6:$V$18,1)))</f>
        <v/>
      </c>
    </row>
    <row r="24" spans="1:30" x14ac:dyDescent="0.2">
      <c r="A24" s="18">
        <f t="shared" ca="1" si="0"/>
        <v>19</v>
      </c>
      <c r="B24" s="38" t="str">
        <f>IF(Info!B24="Atlar şu ýeri","",Info!B24)</f>
        <v>Kurbanow Wekil</v>
      </c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20"/>
      <c r="AB24" s="21" t="str">
        <f t="shared" si="1"/>
        <v/>
      </c>
      <c r="AC24" s="22" t="str">
        <f t="shared" si="2"/>
        <v/>
      </c>
      <c r="AD24" s="23" t="str">
        <f>IF(AC24="","","   "&amp;INDEX(Results!$W$6:$W$18,MATCH(AC24,Results!$V$6:$V$18,1)))</f>
        <v/>
      </c>
    </row>
    <row r="25" spans="1:30" x14ac:dyDescent="0.2">
      <c r="A25" s="18">
        <f t="shared" ca="1" si="0"/>
        <v>20</v>
      </c>
      <c r="B25" s="38" t="str">
        <f>IF(Info!B25="Atlar şu ýeri","",Info!B25)</f>
        <v>Madraimow Seidjan</v>
      </c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20"/>
      <c r="AB25" s="21" t="str">
        <f t="shared" si="1"/>
        <v/>
      </c>
      <c r="AC25" s="22" t="str">
        <f t="shared" si="2"/>
        <v/>
      </c>
      <c r="AD25" s="23" t="str">
        <f>IF(AC25="","","   "&amp;INDEX(Results!$W$6:$W$18,MATCH(AC25,Results!$V$6:$V$18,1)))</f>
        <v/>
      </c>
    </row>
    <row r="26" spans="1:30" x14ac:dyDescent="0.2">
      <c r="A26" s="18">
        <f t="shared" ca="1" si="0"/>
        <v>21</v>
      </c>
      <c r="B26" s="38" t="str">
        <f>IF(Info!B26="Atlar şu ýeri","",Info!B26)</f>
        <v>Matmuradowa Gulnur</v>
      </c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20"/>
      <c r="AB26" s="21" t="str">
        <f t="shared" si="1"/>
        <v/>
      </c>
      <c r="AC26" s="22" t="str">
        <f t="shared" si="2"/>
        <v/>
      </c>
      <c r="AD26" s="23" t="str">
        <f>IF(AC26="","","   "&amp;INDEX(Results!$W$6:$W$18,MATCH(AC26,Results!$V$6:$V$18,1)))</f>
        <v/>
      </c>
    </row>
    <row r="27" spans="1:30" x14ac:dyDescent="0.2">
      <c r="A27" s="18">
        <f t="shared" ca="1" si="0"/>
        <v>22</v>
      </c>
      <c r="B27" s="38" t="str">
        <f>IF(Info!B27="Atlar şu ýeri","",Info!B27)</f>
        <v>Myradowa Aýjahan</v>
      </c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20"/>
      <c r="AB27" s="21" t="str">
        <f t="shared" si="1"/>
        <v/>
      </c>
      <c r="AC27" s="22" t="str">
        <f t="shared" si="2"/>
        <v/>
      </c>
      <c r="AD27" s="23" t="str">
        <f>IF(AC27="","","   "&amp;INDEX(Results!$W$6:$W$18,MATCH(AC27,Results!$V$6:$V$18,1)))</f>
        <v/>
      </c>
    </row>
    <row r="28" spans="1:30" x14ac:dyDescent="0.2">
      <c r="A28" s="18">
        <f t="shared" ca="1" si="0"/>
        <v>23</v>
      </c>
      <c r="B28" s="38" t="str">
        <f>IF(Info!B28="Atlar şu ýeri","",Info!B28)</f>
        <v>Osmanowa Ýyldyz</v>
      </c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20"/>
      <c r="AB28" s="21" t="str">
        <f t="shared" si="1"/>
        <v/>
      </c>
      <c r="AC28" s="22" t="str">
        <f t="shared" si="2"/>
        <v/>
      </c>
      <c r="AD28" s="23" t="str">
        <f>IF(AC28="","","   "&amp;INDEX(Results!$W$6:$W$18,MATCH(AC28,Results!$V$6:$V$18,1)))</f>
        <v/>
      </c>
    </row>
    <row r="29" spans="1:30" x14ac:dyDescent="0.2">
      <c r="A29" s="18">
        <f t="shared" ca="1" si="0"/>
        <v>24</v>
      </c>
      <c r="B29" s="38" t="str">
        <f>IF(Info!B29="Atlar şu ýeri","",Info!B29)</f>
        <v>Orazowa Aýnur</v>
      </c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20"/>
      <c r="AB29" s="21" t="str">
        <f t="shared" si="1"/>
        <v/>
      </c>
      <c r="AC29" s="22" t="str">
        <f t="shared" si="2"/>
        <v/>
      </c>
      <c r="AD29" s="23" t="str">
        <f>IF(AC29="","","   "&amp;INDEX(Results!$W$6:$W$18,MATCH(AC29,Results!$V$6:$V$18,1)))</f>
        <v/>
      </c>
    </row>
    <row r="30" spans="1:30" x14ac:dyDescent="0.2">
      <c r="A30" s="18">
        <f t="shared" ca="1" si="0"/>
        <v>25</v>
      </c>
      <c r="B30" s="38" t="str">
        <f>IF(Info!B30="Atlar şu ýeri","",Info!B30)</f>
        <v>Orunowa Aýjemal</v>
      </c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20"/>
      <c r="AB30" s="21" t="str">
        <f t="shared" si="1"/>
        <v/>
      </c>
      <c r="AC30" s="22" t="str">
        <f t="shared" si="2"/>
        <v/>
      </c>
      <c r="AD30" s="23" t="str">
        <f>IF(AC30="","","   "&amp;INDEX(Results!$W$6:$W$18,MATCH(AC30,Results!$V$6:$V$18,1)))</f>
        <v/>
      </c>
    </row>
    <row r="31" spans="1:30" x14ac:dyDescent="0.2">
      <c r="A31" s="18">
        <f t="shared" ca="1" si="0"/>
        <v>26</v>
      </c>
      <c r="B31" s="38" t="str">
        <f>IF(Info!B31="Atlar şu ýeri","",Info!B31)</f>
        <v>Öwezow Döwlet</v>
      </c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20"/>
      <c r="AB31" s="21" t="str">
        <f t="shared" si="1"/>
        <v/>
      </c>
      <c r="AC31" s="22" t="str">
        <f t="shared" si="2"/>
        <v/>
      </c>
      <c r="AD31" s="23" t="str">
        <f>IF(AC31="","","   "&amp;INDEX(Results!$W$6:$W$18,MATCH(AC31,Results!$V$6:$V$18,1)))</f>
        <v/>
      </c>
    </row>
    <row r="32" spans="1:30" x14ac:dyDescent="0.2">
      <c r="A32" s="18">
        <f t="shared" ca="1" si="0"/>
        <v>27</v>
      </c>
      <c r="B32" s="38" t="str">
        <f>IF(Info!B32="Atlar şu ýeri","",Info!B32)</f>
        <v>Piriýew Aýhan</v>
      </c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20"/>
      <c r="AB32" s="21" t="str">
        <f t="shared" si="1"/>
        <v/>
      </c>
      <c r="AC32" s="22" t="str">
        <f t="shared" si="2"/>
        <v/>
      </c>
      <c r="AD32" s="23" t="str">
        <f>IF(AC32="","","   "&amp;INDEX(Results!$W$6:$W$18,MATCH(AC32,Results!$V$6:$V$18,1)))</f>
        <v/>
      </c>
    </row>
    <row r="33" spans="1:32" x14ac:dyDescent="0.2">
      <c r="A33" s="18">
        <f t="shared" ca="1" si="0"/>
        <v>28</v>
      </c>
      <c r="B33" s="38" t="str">
        <f>IF(Info!B33="Atlar şu ýeri","",Info!B33)</f>
        <v>Taganow Sanjar</v>
      </c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20"/>
      <c r="AB33" s="21" t="str">
        <f t="shared" si="1"/>
        <v/>
      </c>
      <c r="AC33" s="22" t="str">
        <f t="shared" si="2"/>
        <v/>
      </c>
      <c r="AD33" s="23" t="str">
        <f>IF(AC33="","","   "&amp;INDEX(Results!$W$6:$W$18,MATCH(AC33,Results!$V$6:$V$18,1)))</f>
        <v/>
      </c>
    </row>
    <row r="34" spans="1:32" x14ac:dyDescent="0.2">
      <c r="A34" s="18">
        <f t="shared" ca="1" si="0"/>
        <v>29</v>
      </c>
      <c r="B34" s="38" t="str">
        <f>IF(Info!B34="Atlar şu ýeri","",Info!B34)</f>
        <v>Weliýew Öwez</v>
      </c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20"/>
      <c r="AB34" s="21" t="str">
        <f t="shared" si="1"/>
        <v/>
      </c>
      <c r="AC34" s="22" t="str">
        <f t="shared" si="2"/>
        <v/>
      </c>
      <c r="AD34" s="23" t="str">
        <f>IF(AC34="","","   "&amp;INDEX(Results!$W$6:$W$18,MATCH(AC34,Results!$V$6:$V$18,1)))</f>
        <v/>
      </c>
    </row>
    <row r="35" spans="1:32" x14ac:dyDescent="0.2">
      <c r="A35" s="18">
        <f t="shared" ca="1" si="0"/>
        <v>30</v>
      </c>
      <c r="B35" s="38" t="str">
        <f>IF(Info!B35="Atlar şu ýeri","",Info!B35)</f>
        <v>Ýagşybaýew Muhammet</v>
      </c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20"/>
      <c r="AB35" s="21" t="str">
        <f t="shared" si="1"/>
        <v/>
      </c>
      <c r="AC35" s="22" t="str">
        <f t="shared" si="2"/>
        <v/>
      </c>
      <c r="AD35" s="23" t="str">
        <f>IF(AC35="","","   "&amp;INDEX(Results!$W$6:$W$18,MATCH(AC35,Results!$V$6:$V$18,1)))</f>
        <v/>
      </c>
    </row>
    <row r="36" spans="1:32" x14ac:dyDescent="0.2">
      <c r="A36" s="18">
        <f t="shared" ca="1" si="0"/>
        <v>31</v>
      </c>
      <c r="B36" s="38" t="str">
        <f>IF(Info!B36="Atlar şu ýeri","",Info!B36)</f>
        <v>Ýazberdiýewa Söýli</v>
      </c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20"/>
      <c r="AB36" s="21" t="str">
        <f t="shared" si="1"/>
        <v/>
      </c>
      <c r="AC36" s="22" t="str">
        <f t="shared" si="2"/>
        <v/>
      </c>
      <c r="AD36" s="23" t="str">
        <f>IF(AC36="","","   "&amp;INDEX(Results!$W$6:$W$18,MATCH(AC36,Results!$V$6:$V$18,1)))</f>
        <v/>
      </c>
    </row>
    <row r="37" spans="1:32" x14ac:dyDescent="0.2">
      <c r="A37" s="18">
        <f t="shared" ca="1" si="0"/>
        <v>32</v>
      </c>
      <c r="B37" s="38" t="str">
        <f>IF(Info!B37="Atlar şu ýeri","",Info!B37)</f>
        <v>Ýazyýewa Meňli</v>
      </c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20"/>
      <c r="AB37" s="21" t="str">
        <f t="shared" si="1"/>
        <v/>
      </c>
      <c r="AC37" s="22" t="str">
        <f t="shared" si="2"/>
        <v/>
      </c>
      <c r="AD37" s="23" t="str">
        <f>IF(AC37="","","   "&amp;INDEX(Results!$W$6:$W$18,MATCH(AC37,Results!$V$6:$V$18,1)))</f>
        <v/>
      </c>
    </row>
    <row r="38" spans="1:32" x14ac:dyDescent="0.2">
      <c r="A38" s="18">
        <f t="shared" ca="1" si="0"/>
        <v>33</v>
      </c>
      <c r="B38" s="38" t="str">
        <f>IF(Info!B38="Atlar şu ýeri","",Info!B38)</f>
        <v>Ýunusow Ýunus</v>
      </c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20"/>
      <c r="AB38" s="21" t="str">
        <f t="shared" si="1"/>
        <v/>
      </c>
      <c r="AC38" s="22" t="str">
        <f t="shared" si="2"/>
        <v/>
      </c>
      <c r="AD38" s="23" t="str">
        <f>IF(AC38="","","   "&amp;INDEX(Results!$W$6:$W$18,MATCH(AC38,Results!$V$6:$V$18,1)))</f>
        <v/>
      </c>
    </row>
    <row r="39" spans="1:32" x14ac:dyDescent="0.2">
      <c r="A39" s="18">
        <f t="shared" ca="1" si="0"/>
        <v>34</v>
      </c>
      <c r="B39" s="38" t="str">
        <f>IF(Info!B39="Atlar şu ýeri","",Info!B39)</f>
        <v>Ýusupowa  Jahan</v>
      </c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20"/>
      <c r="AB39" s="21" t="str">
        <f t="shared" si="1"/>
        <v/>
      </c>
      <c r="AC39" s="22" t="str">
        <f t="shared" si="2"/>
        <v/>
      </c>
      <c r="AD39" s="23" t="str">
        <f>IF(AC39="","","   "&amp;INDEX(Results!$W$6:$W$18,MATCH(AC39,Results!$V$6:$V$18,1)))</f>
        <v/>
      </c>
    </row>
    <row r="40" spans="1:32" x14ac:dyDescent="0.2">
      <c r="A40" s="18">
        <f t="shared" ca="1" si="0"/>
        <v>35</v>
      </c>
      <c r="B40" s="38" t="str">
        <f>IF(Info!B40="Atlar şu ýeri","",Info!B40)</f>
        <v/>
      </c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20"/>
      <c r="AB40" s="21" t="str">
        <f t="shared" si="1"/>
        <v/>
      </c>
      <c r="AC40" s="22" t="str">
        <f t="shared" si="2"/>
        <v/>
      </c>
      <c r="AD40" s="23" t="str">
        <f>IF(AC40="","","   "&amp;INDEX(Results!$W$6:$W$18,MATCH(AC40,Results!$V$6:$V$18,1)))</f>
        <v/>
      </c>
    </row>
    <row r="41" spans="1:32" x14ac:dyDescent="0.2">
      <c r="A41" s="18">
        <f t="shared" ca="1" si="0"/>
        <v>36</v>
      </c>
      <c r="B41" s="38" t="str">
        <f>IF(Info!B41="Atlar şu ýeri","",Info!B41)</f>
        <v/>
      </c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20"/>
      <c r="AB41" s="21" t="str">
        <f t="shared" si="1"/>
        <v/>
      </c>
      <c r="AC41" s="22" t="str">
        <f t="shared" si="2"/>
        <v/>
      </c>
      <c r="AD41" s="23" t="str">
        <f>IF(AC41="","","   "&amp;INDEX(Results!$W$6:$W$18,MATCH(AC41,Results!$V$6:$V$18,1)))</f>
        <v/>
      </c>
    </row>
    <row r="42" spans="1:32" x14ac:dyDescent="0.2">
      <c r="A42" s="18">
        <f t="shared" ca="1" si="0"/>
        <v>37</v>
      </c>
      <c r="B42" s="38" t="str">
        <f>IF(Info!B42="Atlar şu ýeri","",Info!B42)</f>
        <v/>
      </c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20"/>
      <c r="AB42" s="21" t="str">
        <f t="shared" si="1"/>
        <v/>
      </c>
      <c r="AC42" s="22" t="str">
        <f t="shared" si="2"/>
        <v/>
      </c>
      <c r="AD42" s="23" t="str">
        <f>IF(AC42="","","   "&amp;INDEX(Results!$W$6:$W$18,MATCH(AC42,Results!$V$6:$V$18,1)))</f>
        <v/>
      </c>
    </row>
    <row r="43" spans="1:32" x14ac:dyDescent="0.2">
      <c r="A43" s="18">
        <f t="shared" ca="1" si="0"/>
        <v>38</v>
      </c>
      <c r="B43" s="38" t="str">
        <f>IF(Info!B43="Atlar şu ýeri","",Info!B43)</f>
        <v/>
      </c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20"/>
      <c r="AB43" s="21" t="str">
        <f t="shared" si="1"/>
        <v/>
      </c>
      <c r="AC43" s="22" t="str">
        <f t="shared" si="2"/>
        <v/>
      </c>
      <c r="AD43" s="23" t="str">
        <f>IF(AC43="","","   "&amp;INDEX(Results!$W$6:$W$18,MATCH(AC43,Results!$V$6:$V$18,1)))</f>
        <v/>
      </c>
    </row>
    <row r="44" spans="1:32" x14ac:dyDescent="0.2">
      <c r="A44" s="18">
        <f t="shared" ca="1" si="0"/>
        <v>39</v>
      </c>
      <c r="B44" s="38" t="str">
        <f>IF(Info!B44="Atlar şu ýeri","",Info!B44)</f>
        <v/>
      </c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20"/>
      <c r="AB44" s="21" t="str">
        <f t="shared" si="1"/>
        <v/>
      </c>
      <c r="AC44" s="22" t="str">
        <f t="shared" si="2"/>
        <v/>
      </c>
      <c r="AD44" s="23" t="str">
        <f>IF(AC44="","","   "&amp;INDEX(Results!$W$6:$W$18,MATCH(AC44,Results!$V$6:$V$18,1)))</f>
        <v/>
      </c>
    </row>
    <row r="45" spans="1:32" x14ac:dyDescent="0.2">
      <c r="A45" s="18">
        <f t="shared" ca="1" si="0"/>
        <v>40</v>
      </c>
      <c r="B45" s="38" t="str">
        <f>IF(Info!B45="Atlar şu ýeri","",Info!B45)</f>
        <v/>
      </c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20"/>
      <c r="AB45" s="21" t="str">
        <f t="shared" si="1"/>
        <v/>
      </c>
      <c r="AC45" s="22" t="str">
        <f t="shared" si="2"/>
        <v/>
      </c>
      <c r="AD45" s="23" t="str">
        <f>IF(AC45="","","   "&amp;INDEX(Results!$W$6:$W$18,MATCH(AC45,Results!$V$6:$V$18,1)))</f>
        <v/>
      </c>
    </row>
    <row r="46" spans="1:32" x14ac:dyDescent="0.2">
      <c r="A46" s="24" t="s">
        <v>0</v>
      </c>
      <c r="B46" s="25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96">
        <v>1</v>
      </c>
      <c r="AA46" s="27"/>
      <c r="AB46" s="28"/>
      <c r="AC46" s="29"/>
      <c r="AD46" s="30"/>
    </row>
    <row r="47" spans="1:32" x14ac:dyDescent="0.2">
      <c r="A47" s="2"/>
      <c r="B47" s="31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AA47" s="27"/>
      <c r="AB47" s="33" t="s">
        <v>155</v>
      </c>
      <c r="AC47" s="34" t="e">
        <f>AVERAGE(AC6:AC46)</f>
        <v>#DIV/0!</v>
      </c>
      <c r="AD47" s="35" t="e">
        <f>IF(AC47="","",INDEX(Results!$W$6:$W$18,MATCH(AC47,Results!$V$6:$V$18,1)))</f>
        <v>#DIV/0!</v>
      </c>
      <c r="AF47" s="36"/>
    </row>
    <row r="48" spans="1:32" x14ac:dyDescent="0.2">
      <c r="A48" s="2"/>
      <c r="B48" s="31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27"/>
      <c r="AB48" s="90"/>
      <c r="AC48" s="91"/>
      <c r="AD48" s="92"/>
      <c r="AF48" s="36"/>
    </row>
    <row r="49" spans="1:30" x14ac:dyDescent="0.2">
      <c r="A49" s="2"/>
      <c r="B49" s="37"/>
      <c r="C49" s="32"/>
      <c r="D49" s="32"/>
      <c r="E49" s="32"/>
      <c r="F49" s="32"/>
      <c r="G49" s="32"/>
      <c r="H49" s="32"/>
      <c r="I49" s="93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27"/>
      <c r="AB49" s="2"/>
      <c r="AC49" s="2"/>
      <c r="AD49" s="2"/>
    </row>
  </sheetData>
  <mergeCells count="4">
    <mergeCell ref="AB3:AB4"/>
    <mergeCell ref="AC3:AC4"/>
    <mergeCell ref="AD3:AD4"/>
    <mergeCell ref="C1:T1"/>
  </mergeCell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/>
  <headerFooter alignWithMargins="0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30</xdr:col>
                <xdr:colOff>228600</xdr:colOff>
                <xdr:row>1</xdr:row>
                <xdr:rowOff>28575</xdr:rowOff>
              </from>
              <to>
                <xdr:col>31</xdr:col>
                <xdr:colOff>1028700</xdr:colOff>
                <xdr:row>2</xdr:row>
                <xdr:rowOff>504825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F49"/>
  <sheetViews>
    <sheetView workbookViewId="0">
      <selection sqref="A1:CZ50"/>
    </sheetView>
  </sheetViews>
  <sheetFormatPr defaultRowHeight="12.75" x14ac:dyDescent="0.2"/>
  <cols>
    <col min="1" max="1" width="3.7109375" style="1" customWidth="1"/>
    <col min="2" max="2" width="37.42578125" style="1" bestFit="1" customWidth="1"/>
    <col min="3" max="3" width="9" style="1" bestFit="1" customWidth="1"/>
    <col min="4" max="5" width="7.140625" style="1" customWidth="1"/>
    <col min="6" max="6" width="7.85546875" style="1" bestFit="1" customWidth="1"/>
    <col min="7" max="16" width="7.140625" style="1" customWidth="1"/>
    <col min="17" max="17" width="1.42578125" style="1" customWidth="1"/>
    <col min="18" max="18" width="7.5703125" style="1" customWidth="1"/>
    <col min="19" max="19" width="10.5703125" style="1" bestFit="1" customWidth="1"/>
    <col min="20" max="20" width="6.85546875" style="1" customWidth="1"/>
    <col min="21" max="21" width="5.28515625" style="1" customWidth="1"/>
    <col min="22" max="22" width="16.7109375" style="1" customWidth="1"/>
    <col min="23" max="16384" width="9.140625" style="1"/>
  </cols>
  <sheetData>
    <row r="1" spans="1:30" ht="19.5" x14ac:dyDescent="0.3">
      <c r="A1" s="2"/>
      <c r="B1" s="3" t="s">
        <v>153</v>
      </c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87"/>
      <c r="V1" s="87"/>
      <c r="W1" s="4"/>
      <c r="X1" s="4"/>
      <c r="Y1" s="4"/>
      <c r="Z1" s="4"/>
      <c r="AA1" s="4"/>
      <c r="AB1" s="4"/>
      <c r="AC1" s="6"/>
      <c r="AD1" s="6"/>
    </row>
    <row r="2" spans="1:30" ht="15" x14ac:dyDescent="0.25">
      <c r="A2" s="2"/>
      <c r="B2" s="7" t="s">
        <v>163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10"/>
    </row>
    <row r="3" spans="1:30" ht="42" customHeight="1" x14ac:dyDescent="0.25">
      <c r="A3" s="11"/>
      <c r="B3" s="12" t="s">
        <v>148</v>
      </c>
      <c r="C3" s="13" t="s">
        <v>124</v>
      </c>
      <c r="D3" s="13" t="s">
        <v>125</v>
      </c>
      <c r="E3" s="13" t="s">
        <v>126</v>
      </c>
      <c r="F3" s="13" t="s">
        <v>127</v>
      </c>
      <c r="G3" s="13" t="s">
        <v>128</v>
      </c>
      <c r="H3" s="13" t="s">
        <v>129</v>
      </c>
      <c r="I3" s="13" t="s">
        <v>130</v>
      </c>
      <c r="J3" s="13" t="s">
        <v>131</v>
      </c>
      <c r="K3" s="13" t="s">
        <v>132</v>
      </c>
      <c r="L3" s="13" t="s">
        <v>133</v>
      </c>
      <c r="M3" s="13" t="s">
        <v>134</v>
      </c>
      <c r="N3" s="13" t="s">
        <v>135</v>
      </c>
      <c r="O3" s="13" t="s">
        <v>136</v>
      </c>
      <c r="P3" s="13" t="s">
        <v>137</v>
      </c>
      <c r="Q3" s="13" t="s">
        <v>138</v>
      </c>
      <c r="R3" s="13" t="s">
        <v>139</v>
      </c>
      <c r="S3" s="13" t="s">
        <v>140</v>
      </c>
      <c r="T3" s="13" t="s">
        <v>141</v>
      </c>
      <c r="U3" s="13" t="s">
        <v>142</v>
      </c>
      <c r="V3" s="13" t="s">
        <v>143</v>
      </c>
      <c r="W3" s="13" t="s">
        <v>144</v>
      </c>
      <c r="X3" s="13" t="s">
        <v>145</v>
      </c>
      <c r="Y3" s="13" t="s">
        <v>146</v>
      </c>
      <c r="Z3" s="13" t="s">
        <v>147</v>
      </c>
      <c r="AA3" s="14"/>
      <c r="AB3" s="97" t="s">
        <v>156</v>
      </c>
      <c r="AC3" s="98" t="s">
        <v>157</v>
      </c>
      <c r="AD3" s="99" t="s">
        <v>158</v>
      </c>
    </row>
    <row r="4" spans="1:30" x14ac:dyDescent="0.2">
      <c r="A4" s="11"/>
      <c r="B4" s="15" t="s">
        <v>154</v>
      </c>
      <c r="C4" s="16">
        <v>5</v>
      </c>
      <c r="D4" s="16">
        <v>5</v>
      </c>
      <c r="E4" s="16">
        <v>5</v>
      </c>
      <c r="F4" s="16">
        <v>5</v>
      </c>
      <c r="G4" s="16">
        <v>5</v>
      </c>
      <c r="H4" s="16">
        <v>5</v>
      </c>
      <c r="I4" s="16">
        <v>5</v>
      </c>
      <c r="J4" s="16">
        <v>5</v>
      </c>
      <c r="K4" s="16">
        <v>5</v>
      </c>
      <c r="L4" s="16">
        <v>5</v>
      </c>
      <c r="M4" s="16">
        <v>5</v>
      </c>
      <c r="N4" s="16">
        <v>5</v>
      </c>
      <c r="O4" s="16">
        <v>5</v>
      </c>
      <c r="P4" s="16">
        <v>5</v>
      </c>
      <c r="Q4" s="16">
        <v>5</v>
      </c>
      <c r="R4" s="16">
        <v>5</v>
      </c>
      <c r="S4" s="16">
        <v>5</v>
      </c>
      <c r="T4" s="16">
        <v>5</v>
      </c>
      <c r="U4" s="16">
        <v>5</v>
      </c>
      <c r="V4" s="16">
        <v>5</v>
      </c>
      <c r="W4" s="16">
        <v>5</v>
      </c>
      <c r="X4" s="16">
        <v>5</v>
      </c>
      <c r="Y4" s="16">
        <v>5</v>
      </c>
      <c r="Z4" s="16">
        <v>5</v>
      </c>
      <c r="AA4" s="17"/>
      <c r="AB4" s="97"/>
      <c r="AC4" s="97"/>
      <c r="AD4" s="97"/>
    </row>
    <row r="5" spans="1:30" ht="6" customHeight="1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18">
        <f t="shared" ref="A6:A45" ca="1" si="0">OFFSET(A6,-1,0,1,1)+1</f>
        <v>1</v>
      </c>
      <c r="B6" s="38" t="str">
        <f>IF(Info!B6="Atlar şu ýeri","",Info!B6)</f>
        <v>Abdullaýewa Dinara</v>
      </c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20"/>
      <c r="AB6" s="21" t="str">
        <f>IF(SUM(C6:Z6)=0,"",SUMPRODUCT(C6:Z6))</f>
        <v/>
      </c>
      <c r="AC6" s="22" t="str">
        <f>IF(SUM(C6:Z6)=0,"",AB6/(SUMIF(C6:Z6,"&lt;&gt;",$C$4:$Z$4)-SUMIF(C6:Z6,"=E",$C$4:$Z$4)))</f>
        <v/>
      </c>
      <c r="AD6" s="23" t="str">
        <f>IF(AC6="","","   "&amp;INDEX(Results!$W$6:$W$18,MATCH(AC6,Results!$V$6:$V$18,1)))</f>
        <v/>
      </c>
    </row>
    <row r="7" spans="1:30" x14ac:dyDescent="0.2">
      <c r="A7" s="18">
        <f t="shared" ca="1" si="0"/>
        <v>2</v>
      </c>
      <c r="B7" s="38" t="str">
        <f>IF(Info!B7="Atlar şu ýeri","",Info!B7)</f>
        <v>Arslanow Yhlas</v>
      </c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20"/>
      <c r="AB7" s="21" t="str">
        <f t="shared" ref="AB7:AB45" si="1">IF(SUM(C7:Z7)=0,"",SUMPRODUCT(C7:Z7))</f>
        <v/>
      </c>
      <c r="AC7" s="22" t="str">
        <f t="shared" ref="AC7:AC45" si="2">IF(SUM(C7:Z7)=0,"",AB7/(SUMIF(C7:Z7,"&lt;&gt;",$C$4:$Z$4)-SUMIF(C7:Z7,"=E",$C$4:$Z$4)))</f>
        <v/>
      </c>
      <c r="AD7" s="23" t="str">
        <f>IF(AC7="","","   "&amp;INDEX(Results!$W$6:$W$18,MATCH(AC7,Results!$V$6:$V$18,1)))</f>
        <v/>
      </c>
    </row>
    <row r="8" spans="1:30" x14ac:dyDescent="0.2">
      <c r="A8" s="18">
        <f t="shared" ca="1" si="0"/>
        <v>3</v>
      </c>
      <c r="B8" s="38" t="str">
        <f>IF(Info!B8="Atlar şu ýeri","",Info!B8)</f>
        <v>Aşyrowa Maýsa</v>
      </c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20"/>
      <c r="AB8" s="21" t="str">
        <f t="shared" si="1"/>
        <v/>
      </c>
      <c r="AC8" s="22" t="str">
        <f t="shared" si="2"/>
        <v/>
      </c>
      <c r="AD8" s="23" t="str">
        <f>IF(AC8="","","   "&amp;INDEX(Results!$W$6:$W$18,MATCH(AC8,Results!$V$6:$V$18,1)))</f>
        <v/>
      </c>
    </row>
    <row r="9" spans="1:30" x14ac:dyDescent="0.2">
      <c r="A9" s="18">
        <f t="shared" ca="1" si="0"/>
        <v>4</v>
      </c>
      <c r="B9" s="38" t="str">
        <f>IF(Info!B9="Atlar şu ýeri","",Info!B9)</f>
        <v>Atabaýewa Ogulaý</v>
      </c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20"/>
      <c r="AB9" s="21" t="str">
        <f t="shared" si="1"/>
        <v/>
      </c>
      <c r="AC9" s="22" t="str">
        <f t="shared" si="2"/>
        <v/>
      </c>
      <c r="AD9" s="23" t="str">
        <f>IF(AC9="","","   "&amp;INDEX(Results!$W$6:$W$18,MATCH(AC9,Results!$V$6:$V$18,1)))</f>
        <v/>
      </c>
    </row>
    <row r="10" spans="1:30" x14ac:dyDescent="0.2">
      <c r="A10" s="18">
        <f t="shared" ca="1" si="0"/>
        <v>5</v>
      </c>
      <c r="B10" s="38" t="str">
        <f>IF(Info!B10="Atlar şu ýeri","",Info!B10)</f>
        <v>Atanazarow Meýlis</v>
      </c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20"/>
      <c r="AB10" s="21" t="str">
        <f t="shared" si="1"/>
        <v/>
      </c>
      <c r="AC10" s="22" t="str">
        <f t="shared" si="2"/>
        <v/>
      </c>
      <c r="AD10" s="23" t="str">
        <f>IF(AC10="","","   "&amp;INDEX(Results!$W$6:$W$18,MATCH(AC10,Results!$V$6:$V$18,1)))</f>
        <v/>
      </c>
    </row>
    <row r="11" spans="1:30" x14ac:dyDescent="0.2">
      <c r="A11" s="18">
        <f t="shared" ca="1" si="0"/>
        <v>6</v>
      </c>
      <c r="B11" s="38" t="str">
        <f>IF(Info!B11="Atlar şu ýeri","",Info!B11)</f>
        <v>Babajanowa Aýlar</v>
      </c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20"/>
      <c r="AB11" s="21" t="str">
        <f t="shared" si="1"/>
        <v/>
      </c>
      <c r="AC11" s="22" t="str">
        <f t="shared" si="2"/>
        <v/>
      </c>
      <c r="AD11" s="23" t="str">
        <f>IF(AC11="","","   "&amp;INDEX(Results!$W$6:$W$18,MATCH(AC11,Results!$V$6:$V$18,1)))</f>
        <v/>
      </c>
    </row>
    <row r="12" spans="1:30" x14ac:dyDescent="0.2">
      <c r="A12" s="18">
        <f t="shared" ca="1" si="0"/>
        <v>7</v>
      </c>
      <c r="B12" s="38" t="str">
        <f>IF(Info!B12="Atlar şu ýeri","",Info!B12)</f>
        <v>Babajanowa Selbi</v>
      </c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20"/>
      <c r="AB12" s="21" t="str">
        <f t="shared" si="1"/>
        <v/>
      </c>
      <c r="AC12" s="22" t="str">
        <f t="shared" si="2"/>
        <v/>
      </c>
      <c r="AD12" s="23" t="str">
        <f>IF(AC12="","","   "&amp;INDEX(Results!$W$6:$W$18,MATCH(AC12,Results!$V$6:$V$18,1)))</f>
        <v/>
      </c>
    </row>
    <row r="13" spans="1:30" x14ac:dyDescent="0.2">
      <c r="A13" s="18">
        <f t="shared" ca="1" si="0"/>
        <v>8</v>
      </c>
      <c r="B13" s="38" t="str">
        <f>IF(Info!B13="Atlar şu ýeri","",Info!B13)</f>
        <v>Ataýew Nurgeldi</v>
      </c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20"/>
      <c r="AB13" s="21" t="str">
        <f t="shared" si="1"/>
        <v/>
      </c>
      <c r="AC13" s="22" t="str">
        <f t="shared" si="2"/>
        <v/>
      </c>
      <c r="AD13" s="23" t="str">
        <f>IF(AC13="","","   "&amp;INDEX(Results!$W$6:$W$18,MATCH(AC13,Results!$V$6:$V$18,1)))</f>
        <v/>
      </c>
    </row>
    <row r="14" spans="1:30" x14ac:dyDescent="0.2">
      <c r="A14" s="18">
        <f t="shared" ca="1" si="0"/>
        <v>9</v>
      </c>
      <c r="B14" s="38" t="str">
        <f>IF(Info!B14="Atlar şu ýeri","",Info!B14)</f>
        <v>Batyrow Arafat</v>
      </c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20"/>
      <c r="AB14" s="21" t="str">
        <f t="shared" si="1"/>
        <v/>
      </c>
      <c r="AC14" s="22" t="str">
        <f t="shared" si="2"/>
        <v/>
      </c>
      <c r="AD14" s="23" t="str">
        <f>IF(AC14="","","   "&amp;INDEX(Results!$W$6:$W$18,MATCH(AC14,Results!$V$6:$V$18,1)))</f>
        <v/>
      </c>
    </row>
    <row r="15" spans="1:30" x14ac:dyDescent="0.2">
      <c r="A15" s="18">
        <f t="shared" ca="1" si="0"/>
        <v>10</v>
      </c>
      <c r="B15" s="38" t="str">
        <f>IF(Info!B15="Atlar şu ýeri","",Info!B15)</f>
        <v>Çaryýew Kemal</v>
      </c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20"/>
      <c r="AB15" s="21" t="str">
        <f t="shared" si="1"/>
        <v/>
      </c>
      <c r="AC15" s="22" t="str">
        <f t="shared" si="2"/>
        <v/>
      </c>
      <c r="AD15" s="23" t="str">
        <f>IF(AC15="","","   "&amp;INDEX(Results!$W$6:$W$18,MATCH(AC15,Results!$V$6:$V$18,1)))</f>
        <v/>
      </c>
    </row>
    <row r="16" spans="1:30" x14ac:dyDescent="0.2">
      <c r="A16" s="18">
        <f t="shared" ca="1" si="0"/>
        <v>11</v>
      </c>
      <c r="B16" s="38" t="str">
        <f>IF(Info!B16="Atlar şu ýeri","",Info!B16)</f>
        <v>Gurbanow Mekanmyrat</v>
      </c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20"/>
      <c r="AB16" s="21" t="str">
        <f t="shared" si="1"/>
        <v/>
      </c>
      <c r="AC16" s="22" t="str">
        <f t="shared" si="2"/>
        <v/>
      </c>
      <c r="AD16" s="23" t="str">
        <f>IF(AC16="","","   "&amp;INDEX(Results!$W$6:$W$18,MATCH(AC16,Results!$V$6:$V$18,1)))</f>
        <v/>
      </c>
    </row>
    <row r="17" spans="1:30" x14ac:dyDescent="0.2">
      <c r="A17" s="18">
        <f t="shared" ca="1" si="0"/>
        <v>12</v>
      </c>
      <c r="B17" s="38" t="str">
        <f>IF(Info!B17="Atlar şu ýeri","",Info!B17)</f>
        <v>Hojamuhammedow Guwanç</v>
      </c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20"/>
      <c r="AB17" s="21" t="str">
        <f t="shared" si="1"/>
        <v/>
      </c>
      <c r="AC17" s="22" t="str">
        <f t="shared" si="2"/>
        <v/>
      </c>
      <c r="AD17" s="23" t="str">
        <f>IF(AC17="","","   "&amp;INDEX(Results!$W$6:$W$18,MATCH(AC17,Results!$V$6:$V$18,1)))</f>
        <v/>
      </c>
    </row>
    <row r="18" spans="1:30" x14ac:dyDescent="0.2">
      <c r="A18" s="18">
        <f t="shared" ca="1" si="0"/>
        <v>13</v>
      </c>
      <c r="B18" s="38" t="str">
        <f>IF(Info!B18="Atlar şu ýeri","",Info!B18)</f>
        <v xml:space="preserve">Hojamämmedow  </v>
      </c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20"/>
      <c r="AB18" s="21" t="str">
        <f t="shared" si="1"/>
        <v/>
      </c>
      <c r="AC18" s="22" t="str">
        <f t="shared" si="2"/>
        <v/>
      </c>
      <c r="AD18" s="23" t="str">
        <f>IF(AC18="","","   "&amp;INDEX(Results!$W$6:$W$18,MATCH(AC18,Results!$V$6:$V$18,1)))</f>
        <v/>
      </c>
    </row>
    <row r="19" spans="1:30" x14ac:dyDescent="0.2">
      <c r="A19" s="18">
        <f t="shared" ca="1" si="0"/>
        <v>14</v>
      </c>
      <c r="B19" s="38" t="str">
        <f>IF(Info!B19="Atlar şu ýeri","",Info!B19)</f>
        <v>Hanowa Gülälek</v>
      </c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20"/>
      <c r="AB19" s="21" t="str">
        <f t="shared" si="1"/>
        <v/>
      </c>
      <c r="AC19" s="22" t="str">
        <f t="shared" si="2"/>
        <v/>
      </c>
      <c r="AD19" s="23" t="str">
        <f>IF(AC19="","","   "&amp;INDEX(Results!$W$6:$W$18,MATCH(AC19,Results!$V$6:$V$18,1)))</f>
        <v/>
      </c>
    </row>
    <row r="20" spans="1:30" x14ac:dyDescent="0.2">
      <c r="A20" s="18">
        <f t="shared" ca="1" si="0"/>
        <v>15</v>
      </c>
      <c r="B20" s="38" t="str">
        <f>IF(Info!B20="Atlar şu ýeri","",Info!B20)</f>
        <v>Husainow Serdar</v>
      </c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20"/>
      <c r="AB20" s="21" t="str">
        <f t="shared" si="1"/>
        <v/>
      </c>
      <c r="AC20" s="22" t="str">
        <f t="shared" si="2"/>
        <v/>
      </c>
      <c r="AD20" s="23" t="str">
        <f>IF(AC20="","","   "&amp;INDEX(Results!$W$6:$W$18,MATCH(AC20,Results!$V$6:$V$18,1)))</f>
        <v/>
      </c>
    </row>
    <row r="21" spans="1:30" x14ac:dyDescent="0.2">
      <c r="A21" s="18">
        <f t="shared" ca="1" si="0"/>
        <v>16</v>
      </c>
      <c r="B21" s="38" t="str">
        <f>IF(Info!B21="Atlar şu ýeri","",Info!B21)</f>
        <v>Orunowa Täçbibi</v>
      </c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20"/>
      <c r="AB21" s="21" t="str">
        <f t="shared" si="1"/>
        <v/>
      </c>
      <c r="AC21" s="22" t="str">
        <f t="shared" si="2"/>
        <v/>
      </c>
      <c r="AD21" s="23" t="str">
        <f>IF(AC21="","","   "&amp;INDEX(Results!$W$6:$W$18,MATCH(AC21,Results!$V$6:$V$18,1)))</f>
        <v/>
      </c>
    </row>
    <row r="22" spans="1:30" x14ac:dyDescent="0.2">
      <c r="A22" s="18">
        <f t="shared" ca="1" si="0"/>
        <v>17</v>
      </c>
      <c r="B22" s="38" t="str">
        <f>IF(Info!B22="Atlar şu ýeri","",Info!B22)</f>
        <v>Ilýasow Älem</v>
      </c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20"/>
      <c r="AB22" s="21" t="str">
        <f t="shared" si="1"/>
        <v/>
      </c>
      <c r="AC22" s="22" t="str">
        <f t="shared" si="2"/>
        <v/>
      </c>
      <c r="AD22" s="23" t="str">
        <f>IF(AC22="","","   "&amp;INDEX(Results!$W$6:$W$18,MATCH(AC22,Results!$V$6:$V$18,1)))</f>
        <v/>
      </c>
    </row>
    <row r="23" spans="1:30" x14ac:dyDescent="0.2">
      <c r="A23" s="18">
        <f t="shared" ca="1" si="0"/>
        <v>18</v>
      </c>
      <c r="B23" s="38" t="str">
        <f>IF(Info!B23="Atlar şu ýeri","",Info!B23)</f>
        <v>Karabaýew Begli</v>
      </c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20"/>
      <c r="AB23" s="21" t="str">
        <f t="shared" si="1"/>
        <v/>
      </c>
      <c r="AC23" s="22" t="str">
        <f t="shared" si="2"/>
        <v/>
      </c>
      <c r="AD23" s="23" t="str">
        <f>IF(AC23="","","   "&amp;INDEX(Results!$W$6:$W$18,MATCH(AC23,Results!$V$6:$V$18,1)))</f>
        <v/>
      </c>
    </row>
    <row r="24" spans="1:30" x14ac:dyDescent="0.2">
      <c r="A24" s="18">
        <f t="shared" ca="1" si="0"/>
        <v>19</v>
      </c>
      <c r="B24" s="38" t="str">
        <f>IF(Info!B24="Atlar şu ýeri","",Info!B24)</f>
        <v>Kurbanow Wekil</v>
      </c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20"/>
      <c r="AB24" s="21" t="str">
        <f t="shared" si="1"/>
        <v/>
      </c>
      <c r="AC24" s="22" t="str">
        <f t="shared" si="2"/>
        <v/>
      </c>
      <c r="AD24" s="23" t="str">
        <f>IF(AC24="","","   "&amp;INDEX(Results!$W$6:$W$18,MATCH(AC24,Results!$V$6:$V$18,1)))</f>
        <v/>
      </c>
    </row>
    <row r="25" spans="1:30" x14ac:dyDescent="0.2">
      <c r="A25" s="18">
        <f t="shared" ca="1" si="0"/>
        <v>20</v>
      </c>
      <c r="B25" s="38" t="str">
        <f>IF(Info!B25="Atlar şu ýeri","",Info!B25)</f>
        <v>Madraimow Seidjan</v>
      </c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20"/>
      <c r="AB25" s="21" t="str">
        <f t="shared" si="1"/>
        <v/>
      </c>
      <c r="AC25" s="22" t="str">
        <f t="shared" si="2"/>
        <v/>
      </c>
      <c r="AD25" s="23" t="str">
        <f>IF(AC25="","","   "&amp;INDEX(Results!$W$6:$W$18,MATCH(AC25,Results!$V$6:$V$18,1)))</f>
        <v/>
      </c>
    </row>
    <row r="26" spans="1:30" x14ac:dyDescent="0.2">
      <c r="A26" s="18">
        <f t="shared" ca="1" si="0"/>
        <v>21</v>
      </c>
      <c r="B26" s="38" t="str">
        <f>IF(Info!B26="Atlar şu ýeri","",Info!B26)</f>
        <v>Matmuradowa Gulnur</v>
      </c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20"/>
      <c r="AB26" s="21" t="str">
        <f t="shared" si="1"/>
        <v/>
      </c>
      <c r="AC26" s="22" t="str">
        <f t="shared" si="2"/>
        <v/>
      </c>
      <c r="AD26" s="23" t="str">
        <f>IF(AC26="","","   "&amp;INDEX(Results!$W$6:$W$18,MATCH(AC26,Results!$V$6:$V$18,1)))</f>
        <v/>
      </c>
    </row>
    <row r="27" spans="1:30" x14ac:dyDescent="0.2">
      <c r="A27" s="18">
        <f t="shared" ca="1" si="0"/>
        <v>22</v>
      </c>
      <c r="B27" s="38" t="str">
        <f>IF(Info!B27="Atlar şu ýeri","",Info!B27)</f>
        <v>Myradowa Aýjahan</v>
      </c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20"/>
      <c r="AB27" s="21" t="str">
        <f t="shared" si="1"/>
        <v/>
      </c>
      <c r="AC27" s="22" t="str">
        <f t="shared" si="2"/>
        <v/>
      </c>
      <c r="AD27" s="23" t="str">
        <f>IF(AC27="","","   "&amp;INDEX(Results!$W$6:$W$18,MATCH(AC27,Results!$V$6:$V$18,1)))</f>
        <v/>
      </c>
    </row>
    <row r="28" spans="1:30" x14ac:dyDescent="0.2">
      <c r="A28" s="18">
        <f t="shared" ca="1" si="0"/>
        <v>23</v>
      </c>
      <c r="B28" s="38" t="str">
        <f>IF(Info!B28="Atlar şu ýeri","",Info!B28)</f>
        <v>Osmanowa Ýyldyz</v>
      </c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20"/>
      <c r="AB28" s="21" t="str">
        <f t="shared" si="1"/>
        <v/>
      </c>
      <c r="AC28" s="22" t="str">
        <f t="shared" si="2"/>
        <v/>
      </c>
      <c r="AD28" s="23" t="str">
        <f>IF(AC28="","","   "&amp;INDEX(Results!$W$6:$W$18,MATCH(AC28,Results!$V$6:$V$18,1)))</f>
        <v/>
      </c>
    </row>
    <row r="29" spans="1:30" x14ac:dyDescent="0.2">
      <c r="A29" s="18">
        <f t="shared" ca="1" si="0"/>
        <v>24</v>
      </c>
      <c r="B29" s="38" t="str">
        <f>IF(Info!B29="Atlar şu ýeri","",Info!B29)</f>
        <v>Orazowa Aýnur</v>
      </c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20"/>
      <c r="AB29" s="21" t="str">
        <f t="shared" si="1"/>
        <v/>
      </c>
      <c r="AC29" s="22" t="str">
        <f t="shared" si="2"/>
        <v/>
      </c>
      <c r="AD29" s="23" t="str">
        <f>IF(AC29="","","   "&amp;INDEX(Results!$W$6:$W$18,MATCH(AC29,Results!$V$6:$V$18,1)))</f>
        <v/>
      </c>
    </row>
    <row r="30" spans="1:30" x14ac:dyDescent="0.2">
      <c r="A30" s="18">
        <f t="shared" ca="1" si="0"/>
        <v>25</v>
      </c>
      <c r="B30" s="38" t="str">
        <f>IF(Info!B30="Atlar şu ýeri","",Info!B30)</f>
        <v>Orunowa Aýjemal</v>
      </c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20"/>
      <c r="AB30" s="21" t="str">
        <f t="shared" si="1"/>
        <v/>
      </c>
      <c r="AC30" s="22" t="str">
        <f t="shared" si="2"/>
        <v/>
      </c>
      <c r="AD30" s="23" t="str">
        <f>IF(AC30="","","   "&amp;INDEX(Results!$W$6:$W$18,MATCH(AC30,Results!$V$6:$V$18,1)))</f>
        <v/>
      </c>
    </row>
    <row r="31" spans="1:30" x14ac:dyDescent="0.2">
      <c r="A31" s="18">
        <f t="shared" ca="1" si="0"/>
        <v>26</v>
      </c>
      <c r="B31" s="38" t="str">
        <f>IF(Info!B31="Atlar şu ýeri","",Info!B31)</f>
        <v>Öwezow Döwlet</v>
      </c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20"/>
      <c r="AB31" s="21" t="str">
        <f t="shared" si="1"/>
        <v/>
      </c>
      <c r="AC31" s="22" t="str">
        <f t="shared" si="2"/>
        <v/>
      </c>
      <c r="AD31" s="23" t="str">
        <f>IF(AC31="","","   "&amp;INDEX(Results!$W$6:$W$18,MATCH(AC31,Results!$V$6:$V$18,1)))</f>
        <v/>
      </c>
    </row>
    <row r="32" spans="1:30" x14ac:dyDescent="0.2">
      <c r="A32" s="18">
        <f t="shared" ca="1" si="0"/>
        <v>27</v>
      </c>
      <c r="B32" s="38" t="str">
        <f>IF(Info!B32="Atlar şu ýeri","",Info!B32)</f>
        <v>Piriýew Aýhan</v>
      </c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20"/>
      <c r="AB32" s="21" t="str">
        <f t="shared" si="1"/>
        <v/>
      </c>
      <c r="AC32" s="22" t="str">
        <f t="shared" si="2"/>
        <v/>
      </c>
      <c r="AD32" s="23" t="str">
        <f>IF(AC32="","","   "&amp;INDEX(Results!$W$6:$W$18,MATCH(AC32,Results!$V$6:$V$18,1)))</f>
        <v/>
      </c>
    </row>
    <row r="33" spans="1:32" x14ac:dyDescent="0.2">
      <c r="A33" s="18">
        <f t="shared" ca="1" si="0"/>
        <v>28</v>
      </c>
      <c r="B33" s="38" t="str">
        <f>IF(Info!B33="Atlar şu ýeri","",Info!B33)</f>
        <v>Taganow Sanjar</v>
      </c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20"/>
      <c r="AB33" s="21" t="str">
        <f t="shared" si="1"/>
        <v/>
      </c>
      <c r="AC33" s="22" t="str">
        <f t="shared" si="2"/>
        <v/>
      </c>
      <c r="AD33" s="23" t="str">
        <f>IF(AC33="","","   "&amp;INDEX(Results!$W$6:$W$18,MATCH(AC33,Results!$V$6:$V$18,1)))</f>
        <v/>
      </c>
    </row>
    <row r="34" spans="1:32" x14ac:dyDescent="0.2">
      <c r="A34" s="18">
        <f t="shared" ca="1" si="0"/>
        <v>29</v>
      </c>
      <c r="B34" s="38" t="str">
        <f>IF(Info!B34="Atlar şu ýeri","",Info!B34)</f>
        <v>Weliýew Öwez</v>
      </c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20"/>
      <c r="AB34" s="21" t="str">
        <f t="shared" si="1"/>
        <v/>
      </c>
      <c r="AC34" s="22" t="str">
        <f t="shared" si="2"/>
        <v/>
      </c>
      <c r="AD34" s="23" t="str">
        <f>IF(AC34="","","   "&amp;INDEX(Results!$W$6:$W$18,MATCH(AC34,Results!$V$6:$V$18,1)))</f>
        <v/>
      </c>
    </row>
    <row r="35" spans="1:32" x14ac:dyDescent="0.2">
      <c r="A35" s="18">
        <f t="shared" ca="1" si="0"/>
        <v>30</v>
      </c>
      <c r="B35" s="38" t="str">
        <f>IF(Info!B35="Atlar şu ýeri","",Info!B35)</f>
        <v>Ýagşybaýew Muhammet</v>
      </c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20"/>
      <c r="AB35" s="21" t="str">
        <f t="shared" si="1"/>
        <v/>
      </c>
      <c r="AC35" s="22" t="str">
        <f t="shared" si="2"/>
        <v/>
      </c>
      <c r="AD35" s="23" t="str">
        <f>IF(AC35="","","   "&amp;INDEX(Results!$W$6:$W$18,MATCH(AC35,Results!$V$6:$V$18,1)))</f>
        <v/>
      </c>
    </row>
    <row r="36" spans="1:32" x14ac:dyDescent="0.2">
      <c r="A36" s="18">
        <f t="shared" ca="1" si="0"/>
        <v>31</v>
      </c>
      <c r="B36" s="38" t="str">
        <f>IF(Info!B36="Atlar şu ýeri","",Info!B36)</f>
        <v>Ýazberdiýewa Söýli</v>
      </c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20"/>
      <c r="AB36" s="21" t="str">
        <f t="shared" si="1"/>
        <v/>
      </c>
      <c r="AC36" s="22" t="str">
        <f t="shared" si="2"/>
        <v/>
      </c>
      <c r="AD36" s="23" t="str">
        <f>IF(AC36="","","   "&amp;INDEX(Results!$W$6:$W$18,MATCH(AC36,Results!$V$6:$V$18,1)))</f>
        <v/>
      </c>
    </row>
    <row r="37" spans="1:32" x14ac:dyDescent="0.2">
      <c r="A37" s="18">
        <f t="shared" ca="1" si="0"/>
        <v>32</v>
      </c>
      <c r="B37" s="38" t="str">
        <f>IF(Info!B37="Atlar şu ýeri","",Info!B37)</f>
        <v>Ýazyýewa Meňli</v>
      </c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20"/>
      <c r="AB37" s="21" t="str">
        <f t="shared" si="1"/>
        <v/>
      </c>
      <c r="AC37" s="22" t="str">
        <f t="shared" si="2"/>
        <v/>
      </c>
      <c r="AD37" s="23" t="str">
        <f>IF(AC37="","","   "&amp;INDEX(Results!$W$6:$W$18,MATCH(AC37,Results!$V$6:$V$18,1)))</f>
        <v/>
      </c>
    </row>
    <row r="38" spans="1:32" x14ac:dyDescent="0.2">
      <c r="A38" s="18">
        <f t="shared" ca="1" si="0"/>
        <v>33</v>
      </c>
      <c r="B38" s="38" t="str">
        <f>IF(Info!B38="Atlar şu ýeri","",Info!B38)</f>
        <v>Ýunusow Ýunus</v>
      </c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20"/>
      <c r="AB38" s="21" t="str">
        <f t="shared" si="1"/>
        <v/>
      </c>
      <c r="AC38" s="22" t="str">
        <f t="shared" si="2"/>
        <v/>
      </c>
      <c r="AD38" s="23" t="str">
        <f>IF(AC38="","","   "&amp;INDEX(Results!$W$6:$W$18,MATCH(AC38,Results!$V$6:$V$18,1)))</f>
        <v/>
      </c>
    </row>
    <row r="39" spans="1:32" x14ac:dyDescent="0.2">
      <c r="A39" s="18">
        <f t="shared" ca="1" si="0"/>
        <v>34</v>
      </c>
      <c r="B39" s="38" t="str">
        <f>IF(Info!B39="Atlar şu ýeri","",Info!B39)</f>
        <v>Ýusupowa  Jahan</v>
      </c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20"/>
      <c r="AB39" s="21" t="str">
        <f t="shared" si="1"/>
        <v/>
      </c>
      <c r="AC39" s="22" t="str">
        <f t="shared" si="2"/>
        <v/>
      </c>
      <c r="AD39" s="23" t="str">
        <f>IF(AC39="","","   "&amp;INDEX(Results!$W$6:$W$18,MATCH(AC39,Results!$V$6:$V$18,1)))</f>
        <v/>
      </c>
    </row>
    <row r="40" spans="1:32" x14ac:dyDescent="0.2">
      <c r="A40" s="18">
        <f t="shared" ca="1" si="0"/>
        <v>35</v>
      </c>
      <c r="B40" s="38" t="str">
        <f>IF(Info!B40="Atlar şu ýeri","",Info!B40)</f>
        <v/>
      </c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20"/>
      <c r="AB40" s="21" t="str">
        <f t="shared" si="1"/>
        <v/>
      </c>
      <c r="AC40" s="22" t="str">
        <f t="shared" si="2"/>
        <v/>
      </c>
      <c r="AD40" s="23" t="str">
        <f>IF(AC40="","","   "&amp;INDEX(Results!$W$6:$W$18,MATCH(AC40,Results!$V$6:$V$18,1)))</f>
        <v/>
      </c>
    </row>
    <row r="41" spans="1:32" x14ac:dyDescent="0.2">
      <c r="A41" s="18">
        <f t="shared" ca="1" si="0"/>
        <v>36</v>
      </c>
      <c r="B41" s="38" t="str">
        <f>IF(Info!B41="Atlar şu ýeri","",Info!B41)</f>
        <v/>
      </c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20"/>
      <c r="AB41" s="21" t="str">
        <f t="shared" si="1"/>
        <v/>
      </c>
      <c r="AC41" s="22" t="str">
        <f t="shared" si="2"/>
        <v/>
      </c>
      <c r="AD41" s="23" t="str">
        <f>IF(AC41="","","   "&amp;INDEX(Results!$W$6:$W$18,MATCH(AC41,Results!$V$6:$V$18,1)))</f>
        <v/>
      </c>
    </row>
    <row r="42" spans="1:32" x14ac:dyDescent="0.2">
      <c r="A42" s="18">
        <f t="shared" ca="1" si="0"/>
        <v>37</v>
      </c>
      <c r="B42" s="38" t="str">
        <f>IF(Info!B42="Atlar şu ýeri","",Info!B42)</f>
        <v/>
      </c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20"/>
      <c r="AB42" s="21" t="str">
        <f t="shared" si="1"/>
        <v/>
      </c>
      <c r="AC42" s="22" t="str">
        <f t="shared" si="2"/>
        <v/>
      </c>
      <c r="AD42" s="23" t="str">
        <f>IF(AC42="","","   "&amp;INDEX(Results!$W$6:$W$18,MATCH(AC42,Results!$V$6:$V$18,1)))</f>
        <v/>
      </c>
    </row>
    <row r="43" spans="1:32" x14ac:dyDescent="0.2">
      <c r="A43" s="18">
        <f t="shared" ca="1" si="0"/>
        <v>38</v>
      </c>
      <c r="B43" s="38" t="str">
        <f>IF(Info!B43="Atlar şu ýeri","",Info!B43)</f>
        <v/>
      </c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20"/>
      <c r="AB43" s="21" t="str">
        <f t="shared" si="1"/>
        <v/>
      </c>
      <c r="AC43" s="22" t="str">
        <f t="shared" si="2"/>
        <v/>
      </c>
      <c r="AD43" s="23" t="str">
        <f>IF(AC43="","","   "&amp;INDEX(Results!$W$6:$W$18,MATCH(AC43,Results!$V$6:$V$18,1)))</f>
        <v/>
      </c>
    </row>
    <row r="44" spans="1:32" x14ac:dyDescent="0.2">
      <c r="A44" s="18">
        <f t="shared" ca="1" si="0"/>
        <v>39</v>
      </c>
      <c r="B44" s="38" t="str">
        <f>IF(Info!B44="Atlar şu ýeri","",Info!B44)</f>
        <v/>
      </c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20"/>
      <c r="AB44" s="21" t="str">
        <f t="shared" si="1"/>
        <v/>
      </c>
      <c r="AC44" s="22" t="str">
        <f t="shared" si="2"/>
        <v/>
      </c>
      <c r="AD44" s="23" t="str">
        <f>IF(AC44="","","   "&amp;INDEX(Results!$W$6:$W$18,MATCH(AC44,Results!$V$6:$V$18,1)))</f>
        <v/>
      </c>
    </row>
    <row r="45" spans="1:32" x14ac:dyDescent="0.2">
      <c r="A45" s="18">
        <f t="shared" ca="1" si="0"/>
        <v>40</v>
      </c>
      <c r="B45" s="38" t="str">
        <f>IF(Info!B45="Atlar şu ýeri","",Info!B45)</f>
        <v/>
      </c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20"/>
      <c r="AB45" s="21" t="str">
        <f t="shared" si="1"/>
        <v/>
      </c>
      <c r="AC45" s="22" t="str">
        <f t="shared" si="2"/>
        <v/>
      </c>
      <c r="AD45" s="23" t="str">
        <f>IF(AC45="","","   "&amp;INDEX(Results!$W$6:$W$18,MATCH(AC45,Results!$V$6:$V$18,1)))</f>
        <v/>
      </c>
    </row>
    <row r="46" spans="1:32" x14ac:dyDescent="0.2">
      <c r="A46" s="24" t="s">
        <v>0</v>
      </c>
      <c r="B46" s="25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96">
        <v>1</v>
      </c>
      <c r="AA46" s="27"/>
      <c r="AB46" s="28"/>
      <c r="AC46" s="29"/>
      <c r="AD46" s="30"/>
    </row>
    <row r="47" spans="1:32" x14ac:dyDescent="0.2">
      <c r="A47" s="2"/>
      <c r="B47" s="31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AA47" s="27"/>
      <c r="AB47" s="33" t="s">
        <v>155</v>
      </c>
      <c r="AC47" s="34" t="e">
        <f>AVERAGE(AC6:AC46)</f>
        <v>#DIV/0!</v>
      </c>
      <c r="AD47" s="35" t="e">
        <f>IF(AC47="","",INDEX(Results!$W$6:$W$18,MATCH(AC47,Results!$V$6:$V$18,1)))</f>
        <v>#DIV/0!</v>
      </c>
      <c r="AF47" s="36"/>
    </row>
    <row r="48" spans="1:32" x14ac:dyDescent="0.2">
      <c r="A48" s="2"/>
      <c r="B48" s="31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27"/>
      <c r="AB48" s="90"/>
      <c r="AC48" s="91"/>
      <c r="AD48" s="92"/>
      <c r="AF48" s="36"/>
    </row>
    <row r="49" spans="1:30" x14ac:dyDescent="0.2">
      <c r="A49" s="2"/>
      <c r="B49" s="37"/>
      <c r="C49" s="32"/>
      <c r="D49" s="32"/>
      <c r="E49" s="32"/>
      <c r="F49" s="32"/>
      <c r="G49" s="32"/>
      <c r="H49" s="32"/>
      <c r="I49" s="93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27"/>
      <c r="AB49" s="2"/>
      <c r="AC49" s="2"/>
      <c r="AD49" s="2"/>
    </row>
  </sheetData>
  <mergeCells count="4">
    <mergeCell ref="AB3:AB4"/>
    <mergeCell ref="AC3:AC4"/>
    <mergeCell ref="AD3:AD4"/>
    <mergeCell ref="C1:T1"/>
  </mergeCell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F49"/>
  <sheetViews>
    <sheetView workbookViewId="0">
      <selection activeCell="V26" sqref="V26"/>
    </sheetView>
  </sheetViews>
  <sheetFormatPr defaultRowHeight="12.75" x14ac:dyDescent="0.2"/>
  <cols>
    <col min="1" max="1" width="3.7109375" style="1" customWidth="1"/>
    <col min="2" max="2" width="37.42578125" style="1" bestFit="1" customWidth="1"/>
    <col min="3" max="3" width="9" style="1" bestFit="1" customWidth="1"/>
    <col min="4" max="16" width="9" style="1" customWidth="1"/>
    <col min="17" max="18" width="7.140625" style="1" customWidth="1"/>
    <col min="19" max="19" width="7.85546875" style="1" bestFit="1" customWidth="1"/>
    <col min="20" max="26" width="7.140625" style="1" customWidth="1"/>
    <col min="27" max="27" width="1.42578125" style="1" customWidth="1"/>
    <col min="28" max="28" width="7.5703125" style="1" customWidth="1"/>
    <col min="29" max="29" width="10.5703125" style="1" bestFit="1" customWidth="1"/>
    <col min="30" max="30" width="6.85546875" style="1" customWidth="1"/>
    <col min="31" max="31" width="5.28515625" style="1" customWidth="1"/>
    <col min="32" max="32" width="16.7109375" style="1" customWidth="1"/>
    <col min="33" max="16384" width="9.140625" style="1"/>
  </cols>
  <sheetData>
    <row r="1" spans="1:30" ht="19.5" x14ac:dyDescent="0.3">
      <c r="A1" s="2"/>
      <c r="B1" s="3" t="s">
        <v>153</v>
      </c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87"/>
      <c r="V1" s="87"/>
      <c r="W1" s="4"/>
      <c r="X1" s="4"/>
      <c r="Y1" s="4"/>
      <c r="Z1" s="4"/>
      <c r="AA1" s="4"/>
      <c r="AB1" s="4"/>
      <c r="AC1" s="6"/>
      <c r="AD1" s="6"/>
    </row>
    <row r="2" spans="1:30" ht="15" x14ac:dyDescent="0.25">
      <c r="A2" s="2"/>
      <c r="B2" s="7" t="s">
        <v>164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10"/>
    </row>
    <row r="3" spans="1:30" ht="44.25" customHeight="1" x14ac:dyDescent="0.25">
      <c r="A3" s="11"/>
      <c r="B3" s="12" t="s">
        <v>148</v>
      </c>
      <c r="C3" s="13" t="s">
        <v>124</v>
      </c>
      <c r="D3" s="13" t="s">
        <v>125</v>
      </c>
      <c r="E3" s="13" t="s">
        <v>126</v>
      </c>
      <c r="F3" s="13" t="s">
        <v>127</v>
      </c>
      <c r="G3" s="13" t="s">
        <v>128</v>
      </c>
      <c r="H3" s="13" t="s">
        <v>129</v>
      </c>
      <c r="I3" s="13" t="s">
        <v>130</v>
      </c>
      <c r="J3" s="13" t="s">
        <v>131</v>
      </c>
      <c r="K3" s="13" t="s">
        <v>132</v>
      </c>
      <c r="L3" s="13" t="s">
        <v>133</v>
      </c>
      <c r="M3" s="13" t="s">
        <v>134</v>
      </c>
      <c r="N3" s="13" t="s">
        <v>135</v>
      </c>
      <c r="O3" s="13" t="s">
        <v>136</v>
      </c>
      <c r="P3" s="13" t="s">
        <v>137</v>
      </c>
      <c r="Q3" s="13" t="s">
        <v>138</v>
      </c>
      <c r="R3" s="13" t="s">
        <v>139</v>
      </c>
      <c r="S3" s="13" t="s">
        <v>140</v>
      </c>
      <c r="T3" s="13" t="s">
        <v>141</v>
      </c>
      <c r="U3" s="13" t="s">
        <v>142</v>
      </c>
      <c r="V3" s="13" t="s">
        <v>143</v>
      </c>
      <c r="W3" s="13" t="s">
        <v>144</v>
      </c>
      <c r="X3" s="13" t="s">
        <v>145</v>
      </c>
      <c r="Y3" s="13" t="s">
        <v>146</v>
      </c>
      <c r="Z3" s="13" t="s">
        <v>147</v>
      </c>
      <c r="AA3" s="14"/>
      <c r="AB3" s="97" t="s">
        <v>156</v>
      </c>
      <c r="AC3" s="98" t="s">
        <v>157</v>
      </c>
      <c r="AD3" s="99" t="s">
        <v>158</v>
      </c>
    </row>
    <row r="4" spans="1:30" x14ac:dyDescent="0.2">
      <c r="A4" s="11"/>
      <c r="B4" s="15" t="s">
        <v>154</v>
      </c>
      <c r="C4" s="16">
        <v>5</v>
      </c>
      <c r="D4" s="16">
        <v>5</v>
      </c>
      <c r="E4" s="16">
        <v>5</v>
      </c>
      <c r="F4" s="16">
        <v>5</v>
      </c>
      <c r="G4" s="16">
        <v>5</v>
      </c>
      <c r="H4" s="16">
        <v>5</v>
      </c>
      <c r="I4" s="16">
        <v>5</v>
      </c>
      <c r="J4" s="16">
        <v>5</v>
      </c>
      <c r="K4" s="16">
        <v>5</v>
      </c>
      <c r="L4" s="16">
        <v>5</v>
      </c>
      <c r="M4" s="16">
        <v>5</v>
      </c>
      <c r="N4" s="16">
        <v>5</v>
      </c>
      <c r="O4" s="16">
        <v>5</v>
      </c>
      <c r="P4" s="16">
        <v>5</v>
      </c>
      <c r="Q4" s="16">
        <v>5</v>
      </c>
      <c r="R4" s="16">
        <v>5</v>
      </c>
      <c r="S4" s="16">
        <v>5</v>
      </c>
      <c r="T4" s="16">
        <v>5</v>
      </c>
      <c r="U4" s="16">
        <v>5</v>
      </c>
      <c r="V4" s="16">
        <v>5</v>
      </c>
      <c r="W4" s="16">
        <v>5</v>
      </c>
      <c r="X4" s="16">
        <v>5</v>
      </c>
      <c r="Y4" s="16">
        <v>5</v>
      </c>
      <c r="Z4" s="16">
        <v>5</v>
      </c>
      <c r="AA4" s="17"/>
      <c r="AB4" s="97"/>
      <c r="AC4" s="97"/>
      <c r="AD4" s="97"/>
    </row>
    <row r="5" spans="1:30" ht="6" customHeight="1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18">
        <f t="shared" ref="A6:A45" ca="1" si="0">OFFSET(A6,-1,0,1,1)+1</f>
        <v>1</v>
      </c>
      <c r="B6" s="38" t="str">
        <f>IF(Info!B6="Atlar şu ýeri","",Info!B6)</f>
        <v>Abdullaýewa Dinara</v>
      </c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20"/>
      <c r="AB6" s="21" t="str">
        <f>IF(SUM(C6:Z6)=0,"",SUMPRODUCT(C6:Z6))</f>
        <v/>
      </c>
      <c r="AC6" s="22" t="str">
        <f>IF(SUM(C6:Z6)=0,"",AB6/(SUMIF(C6:Z6,"&lt;&gt;",$C$4:$Z$4)-SUMIF(C6:Z6,"=E",$C$4:$Z$4)))</f>
        <v/>
      </c>
      <c r="AD6" s="23" t="str">
        <f>IF(AC6="","","   "&amp;INDEX(Results!$W$6:$W$18,MATCH(AC6,Results!$V$6:$V$18,1)))</f>
        <v/>
      </c>
    </row>
    <row r="7" spans="1:30" x14ac:dyDescent="0.2">
      <c r="A7" s="18">
        <f t="shared" ca="1" si="0"/>
        <v>2</v>
      </c>
      <c r="B7" s="38" t="str">
        <f>IF(Info!B7="Atlar şu ýeri","",Info!B7)</f>
        <v>Arslanow Yhlas</v>
      </c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20"/>
      <c r="AB7" s="21" t="str">
        <f t="shared" ref="AB7:AB45" si="1">IF(SUM(C7:Z7)=0,"",SUMPRODUCT(C7:Z7))</f>
        <v/>
      </c>
      <c r="AC7" s="22" t="str">
        <f t="shared" ref="AC7:AC45" si="2">IF(SUM(C7:Z7)=0,"",AB7/(SUMIF(C7:Z7,"&lt;&gt;",$C$4:$Z$4)-SUMIF(C7:Z7,"=E",$C$4:$Z$4)))</f>
        <v/>
      </c>
      <c r="AD7" s="23" t="str">
        <f>IF(AC7="","","   "&amp;INDEX(Results!$W$6:$W$18,MATCH(AC7,Results!$V$6:$V$18,1)))</f>
        <v/>
      </c>
    </row>
    <row r="8" spans="1:30" x14ac:dyDescent="0.2">
      <c r="A8" s="18">
        <f t="shared" ca="1" si="0"/>
        <v>3</v>
      </c>
      <c r="B8" s="38" t="str">
        <f>IF(Info!B8="Atlar şu ýeri","",Info!B8)</f>
        <v>Aşyrowa Maýsa</v>
      </c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20"/>
      <c r="AB8" s="21" t="str">
        <f t="shared" si="1"/>
        <v/>
      </c>
      <c r="AC8" s="22" t="str">
        <f t="shared" si="2"/>
        <v/>
      </c>
      <c r="AD8" s="23" t="str">
        <f>IF(AC8="","","   "&amp;INDEX(Results!$W$6:$W$18,MATCH(AC8,Results!$V$6:$V$18,1)))</f>
        <v/>
      </c>
    </row>
    <row r="9" spans="1:30" x14ac:dyDescent="0.2">
      <c r="A9" s="18">
        <f t="shared" ca="1" si="0"/>
        <v>4</v>
      </c>
      <c r="B9" s="38" t="str">
        <f>IF(Info!B9="Atlar şu ýeri","",Info!B9)</f>
        <v>Atabaýewa Ogulaý</v>
      </c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20"/>
      <c r="AB9" s="21" t="str">
        <f t="shared" si="1"/>
        <v/>
      </c>
      <c r="AC9" s="22" t="str">
        <f t="shared" si="2"/>
        <v/>
      </c>
      <c r="AD9" s="23" t="str">
        <f>IF(AC9="","","   "&amp;INDEX(Results!$W$6:$W$18,MATCH(AC9,Results!$V$6:$V$18,1)))</f>
        <v/>
      </c>
    </row>
    <row r="10" spans="1:30" x14ac:dyDescent="0.2">
      <c r="A10" s="18">
        <f t="shared" ca="1" si="0"/>
        <v>5</v>
      </c>
      <c r="B10" s="38" t="str">
        <f>IF(Info!B10="Atlar şu ýeri","",Info!B10)</f>
        <v>Atanazarow Meýlis</v>
      </c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20"/>
      <c r="AB10" s="21" t="str">
        <f t="shared" si="1"/>
        <v/>
      </c>
      <c r="AC10" s="22" t="str">
        <f t="shared" si="2"/>
        <v/>
      </c>
      <c r="AD10" s="23" t="str">
        <f>IF(AC10="","","   "&amp;INDEX(Results!$W$6:$W$18,MATCH(AC10,Results!$V$6:$V$18,1)))</f>
        <v/>
      </c>
    </row>
    <row r="11" spans="1:30" x14ac:dyDescent="0.2">
      <c r="A11" s="18">
        <f t="shared" ca="1" si="0"/>
        <v>6</v>
      </c>
      <c r="B11" s="38" t="str">
        <f>IF(Info!B11="Atlar şu ýeri","",Info!B11)</f>
        <v>Babajanowa Aýlar</v>
      </c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20"/>
      <c r="AB11" s="21" t="str">
        <f t="shared" si="1"/>
        <v/>
      </c>
      <c r="AC11" s="22" t="str">
        <f t="shared" si="2"/>
        <v/>
      </c>
      <c r="AD11" s="23" t="str">
        <f>IF(AC11="","","   "&amp;INDEX(Results!$W$6:$W$18,MATCH(AC11,Results!$V$6:$V$18,1)))</f>
        <v/>
      </c>
    </row>
    <row r="12" spans="1:30" x14ac:dyDescent="0.2">
      <c r="A12" s="18">
        <f t="shared" ca="1" si="0"/>
        <v>7</v>
      </c>
      <c r="B12" s="38" t="str">
        <f>IF(Info!B12="Atlar şu ýeri","",Info!B12)</f>
        <v>Babajanowa Selbi</v>
      </c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20"/>
      <c r="AB12" s="21" t="str">
        <f t="shared" si="1"/>
        <v/>
      </c>
      <c r="AC12" s="22" t="str">
        <f t="shared" si="2"/>
        <v/>
      </c>
      <c r="AD12" s="23" t="str">
        <f>IF(AC12="","","   "&amp;INDEX(Results!$W$6:$W$18,MATCH(AC12,Results!$V$6:$V$18,1)))</f>
        <v/>
      </c>
    </row>
    <row r="13" spans="1:30" x14ac:dyDescent="0.2">
      <c r="A13" s="18">
        <f t="shared" ca="1" si="0"/>
        <v>8</v>
      </c>
      <c r="B13" s="38" t="str">
        <f>IF(Info!B13="Atlar şu ýeri","",Info!B13)</f>
        <v>Ataýew Nurgeldi</v>
      </c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20"/>
      <c r="AB13" s="21" t="str">
        <f t="shared" si="1"/>
        <v/>
      </c>
      <c r="AC13" s="22" t="str">
        <f t="shared" si="2"/>
        <v/>
      </c>
      <c r="AD13" s="23" t="str">
        <f>IF(AC13="","","   "&amp;INDEX(Results!$W$6:$W$18,MATCH(AC13,Results!$V$6:$V$18,1)))</f>
        <v/>
      </c>
    </row>
    <row r="14" spans="1:30" x14ac:dyDescent="0.2">
      <c r="A14" s="18">
        <f t="shared" ca="1" si="0"/>
        <v>9</v>
      </c>
      <c r="B14" s="38" t="str">
        <f>IF(Info!B14="Atlar şu ýeri","",Info!B14)</f>
        <v>Batyrow Arafat</v>
      </c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20"/>
      <c r="AB14" s="21" t="str">
        <f t="shared" si="1"/>
        <v/>
      </c>
      <c r="AC14" s="22" t="str">
        <f t="shared" si="2"/>
        <v/>
      </c>
      <c r="AD14" s="23" t="str">
        <f>IF(AC14="","","   "&amp;INDEX(Results!$W$6:$W$18,MATCH(AC14,Results!$V$6:$V$18,1)))</f>
        <v/>
      </c>
    </row>
    <row r="15" spans="1:30" x14ac:dyDescent="0.2">
      <c r="A15" s="18">
        <f t="shared" ca="1" si="0"/>
        <v>10</v>
      </c>
      <c r="B15" s="38" t="str">
        <f>IF(Info!B15="Atlar şu ýeri","",Info!B15)</f>
        <v>Çaryýew Kemal</v>
      </c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20"/>
      <c r="AB15" s="21" t="str">
        <f t="shared" si="1"/>
        <v/>
      </c>
      <c r="AC15" s="22" t="str">
        <f t="shared" si="2"/>
        <v/>
      </c>
      <c r="AD15" s="23" t="str">
        <f>IF(AC15="","","   "&amp;INDEX(Results!$W$6:$W$18,MATCH(AC15,Results!$V$6:$V$18,1)))</f>
        <v/>
      </c>
    </row>
    <row r="16" spans="1:30" x14ac:dyDescent="0.2">
      <c r="A16" s="18">
        <f t="shared" ca="1" si="0"/>
        <v>11</v>
      </c>
      <c r="B16" s="38" t="str">
        <f>IF(Info!B16="Atlar şu ýeri","",Info!B16)</f>
        <v>Gurbanow Mekanmyrat</v>
      </c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20"/>
      <c r="AB16" s="21" t="str">
        <f t="shared" si="1"/>
        <v/>
      </c>
      <c r="AC16" s="22" t="str">
        <f t="shared" si="2"/>
        <v/>
      </c>
      <c r="AD16" s="23" t="str">
        <f>IF(AC16="","","   "&amp;INDEX(Results!$W$6:$W$18,MATCH(AC16,Results!$V$6:$V$18,1)))</f>
        <v/>
      </c>
    </row>
    <row r="17" spans="1:30" x14ac:dyDescent="0.2">
      <c r="A17" s="18">
        <f t="shared" ca="1" si="0"/>
        <v>12</v>
      </c>
      <c r="B17" s="38" t="str">
        <f>IF(Info!B17="Atlar şu ýeri","",Info!B17)</f>
        <v>Hojamuhammedow Guwanç</v>
      </c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20"/>
      <c r="AB17" s="21" t="str">
        <f t="shared" si="1"/>
        <v/>
      </c>
      <c r="AC17" s="22" t="str">
        <f t="shared" si="2"/>
        <v/>
      </c>
      <c r="AD17" s="23" t="str">
        <f>IF(AC17="","","   "&amp;INDEX(Results!$W$6:$W$18,MATCH(AC17,Results!$V$6:$V$18,1)))</f>
        <v/>
      </c>
    </row>
    <row r="18" spans="1:30" x14ac:dyDescent="0.2">
      <c r="A18" s="18">
        <f t="shared" ca="1" si="0"/>
        <v>13</v>
      </c>
      <c r="B18" s="38" t="str">
        <f>IF(Info!B18="Atlar şu ýeri","",Info!B18)</f>
        <v xml:space="preserve">Hojamämmedow  </v>
      </c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20"/>
      <c r="AB18" s="21" t="str">
        <f t="shared" si="1"/>
        <v/>
      </c>
      <c r="AC18" s="22" t="str">
        <f t="shared" si="2"/>
        <v/>
      </c>
      <c r="AD18" s="23" t="str">
        <f>IF(AC18="","","   "&amp;INDEX(Results!$W$6:$W$18,MATCH(AC18,Results!$V$6:$V$18,1)))</f>
        <v/>
      </c>
    </row>
    <row r="19" spans="1:30" x14ac:dyDescent="0.2">
      <c r="A19" s="18">
        <f t="shared" ca="1" si="0"/>
        <v>14</v>
      </c>
      <c r="B19" s="38" t="str">
        <f>IF(Info!B19="Atlar şu ýeri","",Info!B19)</f>
        <v>Hanowa Gülälek</v>
      </c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20"/>
      <c r="AB19" s="21" t="str">
        <f t="shared" si="1"/>
        <v/>
      </c>
      <c r="AC19" s="22" t="str">
        <f t="shared" si="2"/>
        <v/>
      </c>
      <c r="AD19" s="23" t="str">
        <f>IF(AC19="","","   "&amp;INDEX(Results!$W$6:$W$18,MATCH(AC19,Results!$V$6:$V$18,1)))</f>
        <v/>
      </c>
    </row>
    <row r="20" spans="1:30" x14ac:dyDescent="0.2">
      <c r="A20" s="18">
        <f t="shared" ca="1" si="0"/>
        <v>15</v>
      </c>
      <c r="B20" s="38" t="str">
        <f>IF(Info!B20="Atlar şu ýeri","",Info!B20)</f>
        <v>Husainow Serdar</v>
      </c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20"/>
      <c r="AB20" s="21" t="str">
        <f t="shared" si="1"/>
        <v/>
      </c>
      <c r="AC20" s="22" t="str">
        <f t="shared" si="2"/>
        <v/>
      </c>
      <c r="AD20" s="23" t="str">
        <f>IF(AC20="","","   "&amp;INDEX(Results!$W$6:$W$18,MATCH(AC20,Results!$V$6:$V$18,1)))</f>
        <v/>
      </c>
    </row>
    <row r="21" spans="1:30" x14ac:dyDescent="0.2">
      <c r="A21" s="18">
        <f t="shared" ca="1" si="0"/>
        <v>16</v>
      </c>
      <c r="B21" s="38" t="str">
        <f>IF(Info!B21="Atlar şu ýeri","",Info!B21)</f>
        <v>Orunowa Täçbibi</v>
      </c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20"/>
      <c r="AB21" s="21" t="str">
        <f t="shared" si="1"/>
        <v/>
      </c>
      <c r="AC21" s="22" t="str">
        <f t="shared" si="2"/>
        <v/>
      </c>
      <c r="AD21" s="23" t="str">
        <f>IF(AC21="","","   "&amp;INDEX(Results!$W$6:$W$18,MATCH(AC21,Results!$V$6:$V$18,1)))</f>
        <v/>
      </c>
    </row>
    <row r="22" spans="1:30" x14ac:dyDescent="0.2">
      <c r="A22" s="18">
        <f t="shared" ca="1" si="0"/>
        <v>17</v>
      </c>
      <c r="B22" s="38" t="str">
        <f>IF(Info!B22="Atlar şu ýeri","",Info!B22)</f>
        <v>Ilýasow Älem</v>
      </c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20"/>
      <c r="AB22" s="21" t="str">
        <f t="shared" si="1"/>
        <v/>
      </c>
      <c r="AC22" s="22" t="str">
        <f t="shared" si="2"/>
        <v/>
      </c>
      <c r="AD22" s="23" t="str">
        <f>IF(AC22="","","   "&amp;INDEX(Results!$W$6:$W$18,MATCH(AC22,Results!$V$6:$V$18,1)))</f>
        <v/>
      </c>
    </row>
    <row r="23" spans="1:30" x14ac:dyDescent="0.2">
      <c r="A23" s="18">
        <f t="shared" ca="1" si="0"/>
        <v>18</v>
      </c>
      <c r="B23" s="38" t="str">
        <f>IF(Info!B23="Atlar şu ýeri","",Info!B23)</f>
        <v>Karabaýew Begli</v>
      </c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20"/>
      <c r="AB23" s="21" t="str">
        <f t="shared" si="1"/>
        <v/>
      </c>
      <c r="AC23" s="22" t="str">
        <f t="shared" si="2"/>
        <v/>
      </c>
      <c r="AD23" s="23" t="str">
        <f>IF(AC23="","","   "&amp;INDEX(Results!$W$6:$W$18,MATCH(AC23,Results!$V$6:$V$18,1)))</f>
        <v/>
      </c>
    </row>
    <row r="24" spans="1:30" x14ac:dyDescent="0.2">
      <c r="A24" s="18">
        <f t="shared" ca="1" si="0"/>
        <v>19</v>
      </c>
      <c r="B24" s="38" t="str">
        <f>IF(Info!B24="Atlar şu ýeri","",Info!B24)</f>
        <v>Kurbanow Wekil</v>
      </c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20"/>
      <c r="AB24" s="21" t="str">
        <f t="shared" si="1"/>
        <v/>
      </c>
      <c r="AC24" s="22" t="str">
        <f t="shared" si="2"/>
        <v/>
      </c>
      <c r="AD24" s="23" t="str">
        <f>IF(AC24="","","   "&amp;INDEX(Results!$W$6:$W$18,MATCH(AC24,Results!$V$6:$V$18,1)))</f>
        <v/>
      </c>
    </row>
    <row r="25" spans="1:30" x14ac:dyDescent="0.2">
      <c r="A25" s="18">
        <f t="shared" ca="1" si="0"/>
        <v>20</v>
      </c>
      <c r="B25" s="38" t="str">
        <f>IF(Info!B25="Atlar şu ýeri","",Info!B25)</f>
        <v>Madraimow Seidjan</v>
      </c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20"/>
      <c r="AB25" s="21" t="str">
        <f t="shared" si="1"/>
        <v/>
      </c>
      <c r="AC25" s="22" t="str">
        <f t="shared" si="2"/>
        <v/>
      </c>
      <c r="AD25" s="23" t="str">
        <f>IF(AC25="","","   "&amp;INDEX(Results!$W$6:$W$18,MATCH(AC25,Results!$V$6:$V$18,1)))</f>
        <v/>
      </c>
    </row>
    <row r="26" spans="1:30" x14ac:dyDescent="0.2">
      <c r="A26" s="18">
        <f t="shared" ca="1" si="0"/>
        <v>21</v>
      </c>
      <c r="B26" s="38" t="str">
        <f>IF(Info!B26="Atlar şu ýeri","",Info!B26)</f>
        <v>Matmuradowa Gulnur</v>
      </c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20"/>
      <c r="AB26" s="21" t="str">
        <f t="shared" si="1"/>
        <v/>
      </c>
      <c r="AC26" s="22" t="str">
        <f t="shared" si="2"/>
        <v/>
      </c>
      <c r="AD26" s="23" t="str">
        <f>IF(AC26="","","   "&amp;INDEX(Results!$W$6:$W$18,MATCH(AC26,Results!$V$6:$V$18,1)))</f>
        <v/>
      </c>
    </row>
    <row r="27" spans="1:30" x14ac:dyDescent="0.2">
      <c r="A27" s="18">
        <f t="shared" ca="1" si="0"/>
        <v>22</v>
      </c>
      <c r="B27" s="38" t="str">
        <f>IF(Info!B27="Atlar şu ýeri","",Info!B27)</f>
        <v>Myradowa Aýjahan</v>
      </c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20"/>
      <c r="AB27" s="21" t="str">
        <f t="shared" si="1"/>
        <v/>
      </c>
      <c r="AC27" s="22" t="str">
        <f t="shared" si="2"/>
        <v/>
      </c>
      <c r="AD27" s="23" t="str">
        <f>IF(AC27="","","   "&amp;INDEX(Results!$W$6:$W$18,MATCH(AC27,Results!$V$6:$V$18,1)))</f>
        <v/>
      </c>
    </row>
    <row r="28" spans="1:30" x14ac:dyDescent="0.2">
      <c r="A28" s="18">
        <f t="shared" ca="1" si="0"/>
        <v>23</v>
      </c>
      <c r="B28" s="38" t="str">
        <f>IF(Info!B28="Atlar şu ýeri","",Info!B28)</f>
        <v>Osmanowa Ýyldyz</v>
      </c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20"/>
      <c r="AB28" s="21" t="str">
        <f t="shared" si="1"/>
        <v/>
      </c>
      <c r="AC28" s="22" t="str">
        <f t="shared" si="2"/>
        <v/>
      </c>
      <c r="AD28" s="23" t="str">
        <f>IF(AC28="","","   "&amp;INDEX(Results!$W$6:$W$18,MATCH(AC28,Results!$V$6:$V$18,1)))</f>
        <v/>
      </c>
    </row>
    <row r="29" spans="1:30" x14ac:dyDescent="0.2">
      <c r="A29" s="18">
        <f t="shared" ca="1" si="0"/>
        <v>24</v>
      </c>
      <c r="B29" s="38" t="str">
        <f>IF(Info!B29="Atlar şu ýeri","",Info!B29)</f>
        <v>Orazowa Aýnur</v>
      </c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20"/>
      <c r="AB29" s="21" t="str">
        <f t="shared" si="1"/>
        <v/>
      </c>
      <c r="AC29" s="22" t="str">
        <f t="shared" si="2"/>
        <v/>
      </c>
      <c r="AD29" s="23" t="str">
        <f>IF(AC29="","","   "&amp;INDEX(Results!$W$6:$W$18,MATCH(AC29,Results!$V$6:$V$18,1)))</f>
        <v/>
      </c>
    </row>
    <row r="30" spans="1:30" x14ac:dyDescent="0.2">
      <c r="A30" s="18">
        <f t="shared" ca="1" si="0"/>
        <v>25</v>
      </c>
      <c r="B30" s="38" t="str">
        <f>IF(Info!B30="Atlar şu ýeri","",Info!B30)</f>
        <v>Orunowa Aýjemal</v>
      </c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20"/>
      <c r="AB30" s="21" t="str">
        <f t="shared" si="1"/>
        <v/>
      </c>
      <c r="AC30" s="22" t="str">
        <f t="shared" si="2"/>
        <v/>
      </c>
      <c r="AD30" s="23" t="str">
        <f>IF(AC30="","","   "&amp;INDEX(Results!$W$6:$W$18,MATCH(AC30,Results!$V$6:$V$18,1)))</f>
        <v/>
      </c>
    </row>
    <row r="31" spans="1:30" x14ac:dyDescent="0.2">
      <c r="A31" s="18">
        <f t="shared" ca="1" si="0"/>
        <v>26</v>
      </c>
      <c r="B31" s="38" t="str">
        <f>IF(Info!B31="Atlar şu ýeri","",Info!B31)</f>
        <v>Öwezow Döwlet</v>
      </c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20"/>
      <c r="AB31" s="21" t="str">
        <f t="shared" si="1"/>
        <v/>
      </c>
      <c r="AC31" s="22" t="str">
        <f t="shared" si="2"/>
        <v/>
      </c>
      <c r="AD31" s="23" t="str">
        <f>IF(AC31="","","   "&amp;INDEX(Results!$W$6:$W$18,MATCH(AC31,Results!$V$6:$V$18,1)))</f>
        <v/>
      </c>
    </row>
    <row r="32" spans="1:30" x14ac:dyDescent="0.2">
      <c r="A32" s="18">
        <f t="shared" ca="1" si="0"/>
        <v>27</v>
      </c>
      <c r="B32" s="38" t="str">
        <f>IF(Info!B32="Atlar şu ýeri","",Info!B32)</f>
        <v>Piriýew Aýhan</v>
      </c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20"/>
      <c r="AB32" s="21" t="str">
        <f t="shared" si="1"/>
        <v/>
      </c>
      <c r="AC32" s="22" t="str">
        <f t="shared" si="2"/>
        <v/>
      </c>
      <c r="AD32" s="23" t="str">
        <f>IF(AC32="","","   "&amp;INDEX(Results!$W$6:$W$18,MATCH(AC32,Results!$V$6:$V$18,1)))</f>
        <v/>
      </c>
    </row>
    <row r="33" spans="1:32" x14ac:dyDescent="0.2">
      <c r="A33" s="18">
        <f t="shared" ca="1" si="0"/>
        <v>28</v>
      </c>
      <c r="B33" s="38" t="str">
        <f>IF(Info!B33="Atlar şu ýeri","",Info!B33)</f>
        <v>Taganow Sanjar</v>
      </c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20"/>
      <c r="AB33" s="21" t="str">
        <f t="shared" si="1"/>
        <v/>
      </c>
      <c r="AC33" s="22" t="str">
        <f t="shared" si="2"/>
        <v/>
      </c>
      <c r="AD33" s="23" t="str">
        <f>IF(AC33="","","   "&amp;INDEX(Results!$W$6:$W$18,MATCH(AC33,Results!$V$6:$V$18,1)))</f>
        <v/>
      </c>
    </row>
    <row r="34" spans="1:32" x14ac:dyDescent="0.2">
      <c r="A34" s="18">
        <f t="shared" ca="1" si="0"/>
        <v>29</v>
      </c>
      <c r="B34" s="38" t="str">
        <f>IF(Info!B34="Atlar şu ýeri","",Info!B34)</f>
        <v>Weliýew Öwez</v>
      </c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20"/>
      <c r="AB34" s="21" t="str">
        <f t="shared" si="1"/>
        <v/>
      </c>
      <c r="AC34" s="22" t="str">
        <f t="shared" si="2"/>
        <v/>
      </c>
      <c r="AD34" s="23" t="str">
        <f>IF(AC34="","","   "&amp;INDEX(Results!$W$6:$W$18,MATCH(AC34,Results!$V$6:$V$18,1)))</f>
        <v/>
      </c>
    </row>
    <row r="35" spans="1:32" x14ac:dyDescent="0.2">
      <c r="A35" s="18">
        <f t="shared" ca="1" si="0"/>
        <v>30</v>
      </c>
      <c r="B35" s="38" t="str">
        <f>IF(Info!B35="Atlar şu ýeri","",Info!B35)</f>
        <v>Ýagşybaýew Muhammet</v>
      </c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20"/>
      <c r="AB35" s="21" t="str">
        <f t="shared" si="1"/>
        <v/>
      </c>
      <c r="AC35" s="22" t="str">
        <f t="shared" si="2"/>
        <v/>
      </c>
      <c r="AD35" s="23" t="str">
        <f>IF(AC35="","","   "&amp;INDEX(Results!$W$6:$W$18,MATCH(AC35,Results!$V$6:$V$18,1)))</f>
        <v/>
      </c>
    </row>
    <row r="36" spans="1:32" x14ac:dyDescent="0.2">
      <c r="A36" s="18">
        <f t="shared" ca="1" si="0"/>
        <v>31</v>
      </c>
      <c r="B36" s="38" t="str">
        <f>IF(Info!B36="Atlar şu ýeri","",Info!B36)</f>
        <v>Ýazberdiýewa Söýli</v>
      </c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20"/>
      <c r="AB36" s="21" t="str">
        <f t="shared" si="1"/>
        <v/>
      </c>
      <c r="AC36" s="22" t="str">
        <f t="shared" si="2"/>
        <v/>
      </c>
      <c r="AD36" s="23" t="str">
        <f>IF(AC36="","","   "&amp;INDEX(Results!$W$6:$W$18,MATCH(AC36,Results!$V$6:$V$18,1)))</f>
        <v/>
      </c>
    </row>
    <row r="37" spans="1:32" x14ac:dyDescent="0.2">
      <c r="A37" s="18">
        <f t="shared" ca="1" si="0"/>
        <v>32</v>
      </c>
      <c r="B37" s="38" t="str">
        <f>IF(Info!B37="Atlar şu ýeri","",Info!B37)</f>
        <v>Ýazyýewa Meňli</v>
      </c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20"/>
      <c r="AB37" s="21" t="str">
        <f t="shared" si="1"/>
        <v/>
      </c>
      <c r="AC37" s="22" t="str">
        <f t="shared" si="2"/>
        <v/>
      </c>
      <c r="AD37" s="23" t="str">
        <f>IF(AC37="","","   "&amp;INDEX(Results!$W$6:$W$18,MATCH(AC37,Results!$V$6:$V$18,1)))</f>
        <v/>
      </c>
    </row>
    <row r="38" spans="1:32" x14ac:dyDescent="0.2">
      <c r="A38" s="18">
        <f t="shared" ca="1" si="0"/>
        <v>33</v>
      </c>
      <c r="B38" s="38" t="str">
        <f>IF(Info!B38="Atlar şu ýeri","",Info!B38)</f>
        <v>Ýunusow Ýunus</v>
      </c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20"/>
      <c r="AB38" s="21" t="str">
        <f t="shared" si="1"/>
        <v/>
      </c>
      <c r="AC38" s="22" t="str">
        <f t="shared" si="2"/>
        <v/>
      </c>
      <c r="AD38" s="23" t="str">
        <f>IF(AC38="","","   "&amp;INDEX(Results!$W$6:$W$18,MATCH(AC38,Results!$V$6:$V$18,1)))</f>
        <v/>
      </c>
    </row>
    <row r="39" spans="1:32" x14ac:dyDescent="0.2">
      <c r="A39" s="18">
        <f t="shared" ca="1" si="0"/>
        <v>34</v>
      </c>
      <c r="B39" s="38" t="str">
        <f>IF(Info!B39="Atlar şu ýeri","",Info!B39)</f>
        <v>Ýusupowa  Jahan</v>
      </c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20"/>
      <c r="AB39" s="21" t="str">
        <f t="shared" si="1"/>
        <v/>
      </c>
      <c r="AC39" s="22" t="str">
        <f t="shared" si="2"/>
        <v/>
      </c>
      <c r="AD39" s="23" t="str">
        <f>IF(AC39="","","   "&amp;INDEX(Results!$W$6:$W$18,MATCH(AC39,Results!$V$6:$V$18,1)))</f>
        <v/>
      </c>
    </row>
    <row r="40" spans="1:32" x14ac:dyDescent="0.2">
      <c r="A40" s="18">
        <f t="shared" ca="1" si="0"/>
        <v>35</v>
      </c>
      <c r="B40" s="38" t="str">
        <f>IF(Info!B40="Atlar şu ýeri","",Info!B40)</f>
        <v/>
      </c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20"/>
      <c r="AB40" s="21" t="str">
        <f t="shared" si="1"/>
        <v/>
      </c>
      <c r="AC40" s="22" t="str">
        <f t="shared" si="2"/>
        <v/>
      </c>
      <c r="AD40" s="23" t="str">
        <f>IF(AC40="","","   "&amp;INDEX(Results!$W$6:$W$18,MATCH(AC40,Results!$V$6:$V$18,1)))</f>
        <v/>
      </c>
    </row>
    <row r="41" spans="1:32" x14ac:dyDescent="0.2">
      <c r="A41" s="18">
        <f t="shared" ca="1" si="0"/>
        <v>36</v>
      </c>
      <c r="B41" s="38" t="str">
        <f>IF(Info!B41="Atlar şu ýeri","",Info!B41)</f>
        <v/>
      </c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20"/>
      <c r="AB41" s="21" t="str">
        <f t="shared" si="1"/>
        <v/>
      </c>
      <c r="AC41" s="22" t="str">
        <f t="shared" si="2"/>
        <v/>
      </c>
      <c r="AD41" s="23" t="str">
        <f>IF(AC41="","","   "&amp;INDEX(Results!$W$6:$W$18,MATCH(AC41,Results!$V$6:$V$18,1)))</f>
        <v/>
      </c>
    </row>
    <row r="42" spans="1:32" x14ac:dyDescent="0.2">
      <c r="A42" s="18">
        <f t="shared" ca="1" si="0"/>
        <v>37</v>
      </c>
      <c r="B42" s="38" t="str">
        <f>IF(Info!B42="Atlar şu ýeri","",Info!B42)</f>
        <v/>
      </c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20"/>
      <c r="AB42" s="21" t="str">
        <f t="shared" si="1"/>
        <v/>
      </c>
      <c r="AC42" s="22" t="str">
        <f t="shared" si="2"/>
        <v/>
      </c>
      <c r="AD42" s="23" t="str">
        <f>IF(AC42="","","   "&amp;INDEX(Results!$W$6:$W$18,MATCH(AC42,Results!$V$6:$V$18,1)))</f>
        <v/>
      </c>
    </row>
    <row r="43" spans="1:32" x14ac:dyDescent="0.2">
      <c r="A43" s="18">
        <f t="shared" ca="1" si="0"/>
        <v>38</v>
      </c>
      <c r="B43" s="38" t="str">
        <f>IF(Info!B43="Atlar şu ýeri","",Info!B43)</f>
        <v/>
      </c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20"/>
      <c r="AB43" s="21" t="str">
        <f t="shared" si="1"/>
        <v/>
      </c>
      <c r="AC43" s="22" t="str">
        <f t="shared" si="2"/>
        <v/>
      </c>
      <c r="AD43" s="23" t="str">
        <f>IF(AC43="","","   "&amp;INDEX(Results!$W$6:$W$18,MATCH(AC43,Results!$V$6:$V$18,1)))</f>
        <v/>
      </c>
    </row>
    <row r="44" spans="1:32" x14ac:dyDescent="0.2">
      <c r="A44" s="18">
        <f t="shared" ca="1" si="0"/>
        <v>39</v>
      </c>
      <c r="B44" s="38" t="str">
        <f>IF(Info!B44="Atlar şu ýeri","",Info!B44)</f>
        <v/>
      </c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20"/>
      <c r="AB44" s="21" t="str">
        <f t="shared" si="1"/>
        <v/>
      </c>
      <c r="AC44" s="22" t="str">
        <f t="shared" si="2"/>
        <v/>
      </c>
      <c r="AD44" s="23" t="str">
        <f>IF(AC44="","","   "&amp;INDEX(Results!$W$6:$W$18,MATCH(AC44,Results!$V$6:$V$18,1)))</f>
        <v/>
      </c>
    </row>
    <row r="45" spans="1:32" x14ac:dyDescent="0.2">
      <c r="A45" s="18">
        <f t="shared" ca="1" si="0"/>
        <v>40</v>
      </c>
      <c r="B45" s="38" t="str">
        <f>IF(Info!B45="Atlar şu ýeri","",Info!B45)</f>
        <v/>
      </c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20"/>
      <c r="AB45" s="21" t="str">
        <f t="shared" si="1"/>
        <v/>
      </c>
      <c r="AC45" s="22" t="str">
        <f t="shared" si="2"/>
        <v/>
      </c>
      <c r="AD45" s="23" t="str">
        <f>IF(AC45="","","   "&amp;INDEX(Results!$W$6:$W$18,MATCH(AC45,Results!$V$6:$V$18,1)))</f>
        <v/>
      </c>
    </row>
    <row r="46" spans="1:32" x14ac:dyDescent="0.2">
      <c r="A46" s="24" t="s">
        <v>0</v>
      </c>
      <c r="B46" s="25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96">
        <v>1</v>
      </c>
      <c r="AA46" s="27"/>
      <c r="AB46" s="28"/>
      <c r="AC46" s="29"/>
      <c r="AD46" s="30"/>
    </row>
    <row r="47" spans="1:32" x14ac:dyDescent="0.2">
      <c r="A47" s="2"/>
      <c r="B47" s="31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AA47" s="27"/>
      <c r="AB47" s="33" t="s">
        <v>155</v>
      </c>
      <c r="AC47" s="34" t="e">
        <f>AVERAGE(AC6:AC46)</f>
        <v>#DIV/0!</v>
      </c>
      <c r="AD47" s="35" t="e">
        <f>IF(AC47="","",INDEX(Results!$W$6:$W$18,MATCH(AC47,Results!$V$6:$V$18,1)))</f>
        <v>#DIV/0!</v>
      </c>
      <c r="AF47" s="36"/>
    </row>
    <row r="48" spans="1:32" x14ac:dyDescent="0.2">
      <c r="A48" s="2"/>
      <c r="B48" s="31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27"/>
      <c r="AB48" s="90"/>
      <c r="AC48" s="91"/>
      <c r="AD48" s="92"/>
      <c r="AF48" s="36"/>
    </row>
    <row r="49" spans="1:30" x14ac:dyDescent="0.2">
      <c r="A49" s="2"/>
      <c r="B49" s="37"/>
      <c r="C49" s="32"/>
      <c r="D49" s="32"/>
      <c r="E49" s="32"/>
      <c r="F49" s="32"/>
      <c r="G49" s="32"/>
      <c r="H49" s="32"/>
      <c r="I49" s="93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27"/>
      <c r="AB49" s="2"/>
      <c r="AC49" s="2"/>
      <c r="AD49" s="2"/>
    </row>
  </sheetData>
  <mergeCells count="4">
    <mergeCell ref="AB3:AB4"/>
    <mergeCell ref="AC3:AC4"/>
    <mergeCell ref="AD3:AD4"/>
    <mergeCell ref="C1:T1"/>
  </mergeCell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/>
  <headerFooter alignWithMargins="0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31</xdr:col>
                <xdr:colOff>123825</xdr:colOff>
                <xdr:row>1</xdr:row>
                <xdr:rowOff>114300</xdr:rowOff>
              </from>
              <to>
                <xdr:col>32</xdr:col>
                <xdr:colOff>161925</xdr:colOff>
                <xdr:row>3</xdr:row>
                <xdr:rowOff>28575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F49"/>
  <sheetViews>
    <sheetView workbookViewId="0">
      <selection sqref="A1:CZ50"/>
    </sheetView>
  </sheetViews>
  <sheetFormatPr defaultRowHeight="12.75" x14ac:dyDescent="0.2"/>
  <cols>
    <col min="1" max="1" width="3.7109375" style="1" customWidth="1"/>
    <col min="2" max="2" width="37.42578125" style="1" bestFit="1" customWidth="1"/>
    <col min="3" max="3" width="9" style="1" bestFit="1" customWidth="1"/>
    <col min="4" max="5" width="7.140625" style="1" customWidth="1"/>
    <col min="6" max="6" width="7.85546875" style="1" bestFit="1" customWidth="1"/>
    <col min="7" max="16" width="7.140625" style="1" customWidth="1"/>
    <col min="17" max="17" width="1.42578125" style="1" customWidth="1"/>
    <col min="18" max="18" width="7.5703125" style="1" customWidth="1"/>
    <col min="19" max="19" width="10.5703125" style="1" bestFit="1" customWidth="1"/>
    <col min="20" max="20" width="6.85546875" style="1" customWidth="1"/>
    <col min="21" max="21" width="5.28515625" style="1" customWidth="1"/>
    <col min="22" max="22" width="16.7109375" style="1" customWidth="1"/>
    <col min="23" max="16384" width="9.140625" style="1"/>
  </cols>
  <sheetData>
    <row r="1" spans="1:30" ht="19.5" x14ac:dyDescent="0.3">
      <c r="A1" s="2"/>
      <c r="B1" s="3" t="s">
        <v>153</v>
      </c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87"/>
      <c r="V1" s="87"/>
      <c r="W1" s="4"/>
      <c r="X1" s="4"/>
      <c r="Y1" s="4"/>
      <c r="Z1" s="4"/>
      <c r="AA1" s="4"/>
      <c r="AB1" s="4"/>
      <c r="AC1" s="6"/>
      <c r="AD1" s="6"/>
    </row>
    <row r="2" spans="1:30" ht="15" x14ac:dyDescent="0.25">
      <c r="A2" s="2"/>
      <c r="B2" s="7" t="s">
        <v>164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10"/>
    </row>
    <row r="3" spans="1:30" ht="44.25" customHeight="1" x14ac:dyDescent="0.25">
      <c r="A3" s="11"/>
      <c r="B3" s="12" t="s">
        <v>148</v>
      </c>
      <c r="C3" s="13" t="s">
        <v>124</v>
      </c>
      <c r="D3" s="13" t="s">
        <v>125</v>
      </c>
      <c r="E3" s="13" t="s">
        <v>126</v>
      </c>
      <c r="F3" s="13" t="s">
        <v>127</v>
      </c>
      <c r="G3" s="13" t="s">
        <v>128</v>
      </c>
      <c r="H3" s="13" t="s">
        <v>129</v>
      </c>
      <c r="I3" s="13" t="s">
        <v>130</v>
      </c>
      <c r="J3" s="13" t="s">
        <v>131</v>
      </c>
      <c r="K3" s="13" t="s">
        <v>132</v>
      </c>
      <c r="L3" s="13" t="s">
        <v>133</v>
      </c>
      <c r="M3" s="13" t="s">
        <v>134</v>
      </c>
      <c r="N3" s="13" t="s">
        <v>135</v>
      </c>
      <c r="O3" s="13" t="s">
        <v>136</v>
      </c>
      <c r="P3" s="13" t="s">
        <v>137</v>
      </c>
      <c r="Q3" s="13" t="s">
        <v>138</v>
      </c>
      <c r="R3" s="13" t="s">
        <v>139</v>
      </c>
      <c r="S3" s="13" t="s">
        <v>140</v>
      </c>
      <c r="T3" s="13" t="s">
        <v>141</v>
      </c>
      <c r="U3" s="13" t="s">
        <v>142</v>
      </c>
      <c r="V3" s="13" t="s">
        <v>143</v>
      </c>
      <c r="W3" s="13" t="s">
        <v>144</v>
      </c>
      <c r="X3" s="13" t="s">
        <v>145</v>
      </c>
      <c r="Y3" s="13" t="s">
        <v>146</v>
      </c>
      <c r="Z3" s="13" t="s">
        <v>147</v>
      </c>
      <c r="AA3" s="14"/>
      <c r="AB3" s="97" t="s">
        <v>156</v>
      </c>
      <c r="AC3" s="98" t="s">
        <v>157</v>
      </c>
      <c r="AD3" s="99" t="s">
        <v>158</v>
      </c>
    </row>
    <row r="4" spans="1:30" x14ac:dyDescent="0.2">
      <c r="A4" s="11"/>
      <c r="B4" s="15" t="s">
        <v>154</v>
      </c>
      <c r="C4" s="16">
        <v>5</v>
      </c>
      <c r="D4" s="16">
        <v>5</v>
      </c>
      <c r="E4" s="16">
        <v>5</v>
      </c>
      <c r="F4" s="16">
        <v>5</v>
      </c>
      <c r="G4" s="16">
        <v>5</v>
      </c>
      <c r="H4" s="16">
        <v>5</v>
      </c>
      <c r="I4" s="16">
        <v>5</v>
      </c>
      <c r="J4" s="16">
        <v>5</v>
      </c>
      <c r="K4" s="16">
        <v>5</v>
      </c>
      <c r="L4" s="16">
        <v>5</v>
      </c>
      <c r="M4" s="16">
        <v>5</v>
      </c>
      <c r="N4" s="16">
        <v>5</v>
      </c>
      <c r="O4" s="16">
        <v>5</v>
      </c>
      <c r="P4" s="16">
        <v>5</v>
      </c>
      <c r="Q4" s="16">
        <v>5</v>
      </c>
      <c r="R4" s="16">
        <v>5</v>
      </c>
      <c r="S4" s="16">
        <v>5</v>
      </c>
      <c r="T4" s="16">
        <v>5</v>
      </c>
      <c r="U4" s="16">
        <v>5</v>
      </c>
      <c r="V4" s="16">
        <v>5</v>
      </c>
      <c r="W4" s="16">
        <v>5</v>
      </c>
      <c r="X4" s="16">
        <v>5</v>
      </c>
      <c r="Y4" s="16">
        <v>5</v>
      </c>
      <c r="Z4" s="16">
        <v>5</v>
      </c>
      <c r="AA4" s="17"/>
      <c r="AB4" s="97"/>
      <c r="AC4" s="97"/>
      <c r="AD4" s="97"/>
    </row>
    <row r="5" spans="1:30" ht="6" customHeight="1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18">
        <f t="shared" ref="A6:A45" ca="1" si="0">OFFSET(A6,-1,0,1,1)+1</f>
        <v>1</v>
      </c>
      <c r="B6" s="38" t="str">
        <f>IF(Info!B6="Atlar şu ýeri","",Info!B6)</f>
        <v>Abdullaýewa Dinara</v>
      </c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20"/>
      <c r="AB6" s="21" t="str">
        <f>IF(SUM(C6:Z6)=0,"",SUMPRODUCT(C6:Z6))</f>
        <v/>
      </c>
      <c r="AC6" s="22" t="str">
        <f>IF(SUM(C6:Z6)=0,"",AB6/(SUMIF(C6:Z6,"&lt;&gt;",$C$4:$Z$4)-SUMIF(C6:Z6,"=E",$C$4:$Z$4)))</f>
        <v/>
      </c>
      <c r="AD6" s="23" t="str">
        <f>IF(AC6="","","   "&amp;INDEX(Results!$W$6:$W$18,MATCH(AC6,Results!$V$6:$V$18,1)))</f>
        <v/>
      </c>
    </row>
    <row r="7" spans="1:30" x14ac:dyDescent="0.2">
      <c r="A7" s="18">
        <f t="shared" ca="1" si="0"/>
        <v>2</v>
      </c>
      <c r="B7" s="38" t="str">
        <f>IF(Info!B7="Atlar şu ýeri","",Info!B7)</f>
        <v>Arslanow Yhlas</v>
      </c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20"/>
      <c r="AB7" s="21" t="str">
        <f t="shared" ref="AB7:AB45" si="1">IF(SUM(C7:Z7)=0,"",SUMPRODUCT(C7:Z7))</f>
        <v/>
      </c>
      <c r="AC7" s="22" t="str">
        <f t="shared" ref="AC7:AC45" si="2">IF(SUM(C7:Z7)=0,"",AB7/(SUMIF(C7:Z7,"&lt;&gt;",$C$4:$Z$4)-SUMIF(C7:Z7,"=E",$C$4:$Z$4)))</f>
        <v/>
      </c>
      <c r="AD7" s="23" t="str">
        <f>IF(AC7="","","   "&amp;INDEX(Results!$W$6:$W$18,MATCH(AC7,Results!$V$6:$V$18,1)))</f>
        <v/>
      </c>
    </row>
    <row r="8" spans="1:30" x14ac:dyDescent="0.2">
      <c r="A8" s="18">
        <f t="shared" ca="1" si="0"/>
        <v>3</v>
      </c>
      <c r="B8" s="38" t="str">
        <f>IF(Info!B8="Atlar şu ýeri","",Info!B8)</f>
        <v>Aşyrowa Maýsa</v>
      </c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20"/>
      <c r="AB8" s="21" t="str">
        <f t="shared" si="1"/>
        <v/>
      </c>
      <c r="AC8" s="22" t="str">
        <f t="shared" si="2"/>
        <v/>
      </c>
      <c r="AD8" s="23" t="str">
        <f>IF(AC8="","","   "&amp;INDEX(Results!$W$6:$W$18,MATCH(AC8,Results!$V$6:$V$18,1)))</f>
        <v/>
      </c>
    </row>
    <row r="9" spans="1:30" x14ac:dyDescent="0.2">
      <c r="A9" s="18">
        <f t="shared" ca="1" si="0"/>
        <v>4</v>
      </c>
      <c r="B9" s="38" t="str">
        <f>IF(Info!B9="Atlar şu ýeri","",Info!B9)</f>
        <v>Atabaýewa Ogulaý</v>
      </c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20"/>
      <c r="AB9" s="21" t="str">
        <f t="shared" si="1"/>
        <v/>
      </c>
      <c r="AC9" s="22" t="str">
        <f t="shared" si="2"/>
        <v/>
      </c>
      <c r="AD9" s="23" t="str">
        <f>IF(AC9="","","   "&amp;INDEX(Results!$W$6:$W$18,MATCH(AC9,Results!$V$6:$V$18,1)))</f>
        <v/>
      </c>
    </row>
    <row r="10" spans="1:30" x14ac:dyDescent="0.2">
      <c r="A10" s="18">
        <f t="shared" ca="1" si="0"/>
        <v>5</v>
      </c>
      <c r="B10" s="38" t="str">
        <f>IF(Info!B10="Atlar şu ýeri","",Info!B10)</f>
        <v>Atanazarow Meýlis</v>
      </c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20"/>
      <c r="AB10" s="21" t="str">
        <f t="shared" si="1"/>
        <v/>
      </c>
      <c r="AC10" s="22" t="str">
        <f t="shared" si="2"/>
        <v/>
      </c>
      <c r="AD10" s="23" t="str">
        <f>IF(AC10="","","   "&amp;INDEX(Results!$W$6:$W$18,MATCH(AC10,Results!$V$6:$V$18,1)))</f>
        <v/>
      </c>
    </row>
    <row r="11" spans="1:30" x14ac:dyDescent="0.2">
      <c r="A11" s="18">
        <f t="shared" ca="1" si="0"/>
        <v>6</v>
      </c>
      <c r="B11" s="38" t="str">
        <f>IF(Info!B11="Atlar şu ýeri","",Info!B11)</f>
        <v>Babajanowa Aýlar</v>
      </c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20"/>
      <c r="AB11" s="21" t="str">
        <f t="shared" si="1"/>
        <v/>
      </c>
      <c r="AC11" s="22" t="str">
        <f t="shared" si="2"/>
        <v/>
      </c>
      <c r="AD11" s="23" t="str">
        <f>IF(AC11="","","   "&amp;INDEX(Results!$W$6:$W$18,MATCH(AC11,Results!$V$6:$V$18,1)))</f>
        <v/>
      </c>
    </row>
    <row r="12" spans="1:30" x14ac:dyDescent="0.2">
      <c r="A12" s="18">
        <f t="shared" ca="1" si="0"/>
        <v>7</v>
      </c>
      <c r="B12" s="38" t="str">
        <f>IF(Info!B12="Atlar şu ýeri","",Info!B12)</f>
        <v>Babajanowa Selbi</v>
      </c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20"/>
      <c r="AB12" s="21" t="str">
        <f t="shared" si="1"/>
        <v/>
      </c>
      <c r="AC12" s="22" t="str">
        <f t="shared" si="2"/>
        <v/>
      </c>
      <c r="AD12" s="23" t="str">
        <f>IF(AC12="","","   "&amp;INDEX(Results!$W$6:$W$18,MATCH(AC12,Results!$V$6:$V$18,1)))</f>
        <v/>
      </c>
    </row>
    <row r="13" spans="1:30" x14ac:dyDescent="0.2">
      <c r="A13" s="18">
        <f t="shared" ca="1" si="0"/>
        <v>8</v>
      </c>
      <c r="B13" s="38" t="str">
        <f>IF(Info!B13="Atlar şu ýeri","",Info!B13)</f>
        <v>Ataýew Nurgeldi</v>
      </c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20"/>
      <c r="AB13" s="21" t="str">
        <f t="shared" si="1"/>
        <v/>
      </c>
      <c r="AC13" s="22" t="str">
        <f t="shared" si="2"/>
        <v/>
      </c>
      <c r="AD13" s="23" t="str">
        <f>IF(AC13="","","   "&amp;INDEX(Results!$W$6:$W$18,MATCH(AC13,Results!$V$6:$V$18,1)))</f>
        <v/>
      </c>
    </row>
    <row r="14" spans="1:30" x14ac:dyDescent="0.2">
      <c r="A14" s="18">
        <f t="shared" ca="1" si="0"/>
        <v>9</v>
      </c>
      <c r="B14" s="38" t="str">
        <f>IF(Info!B14="Atlar şu ýeri","",Info!B14)</f>
        <v>Batyrow Arafat</v>
      </c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20"/>
      <c r="AB14" s="21" t="str">
        <f t="shared" si="1"/>
        <v/>
      </c>
      <c r="AC14" s="22" t="str">
        <f t="shared" si="2"/>
        <v/>
      </c>
      <c r="AD14" s="23" t="str">
        <f>IF(AC14="","","   "&amp;INDEX(Results!$W$6:$W$18,MATCH(AC14,Results!$V$6:$V$18,1)))</f>
        <v/>
      </c>
    </row>
    <row r="15" spans="1:30" x14ac:dyDescent="0.2">
      <c r="A15" s="18">
        <f t="shared" ca="1" si="0"/>
        <v>10</v>
      </c>
      <c r="B15" s="38" t="str">
        <f>IF(Info!B15="Atlar şu ýeri","",Info!B15)</f>
        <v>Çaryýew Kemal</v>
      </c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20"/>
      <c r="AB15" s="21" t="str">
        <f t="shared" si="1"/>
        <v/>
      </c>
      <c r="AC15" s="22" t="str">
        <f t="shared" si="2"/>
        <v/>
      </c>
      <c r="AD15" s="23" t="str">
        <f>IF(AC15="","","   "&amp;INDEX(Results!$W$6:$W$18,MATCH(AC15,Results!$V$6:$V$18,1)))</f>
        <v/>
      </c>
    </row>
    <row r="16" spans="1:30" x14ac:dyDescent="0.2">
      <c r="A16" s="18">
        <f t="shared" ca="1" si="0"/>
        <v>11</v>
      </c>
      <c r="B16" s="38" t="str">
        <f>IF(Info!B16="Atlar şu ýeri","",Info!B16)</f>
        <v>Gurbanow Mekanmyrat</v>
      </c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20"/>
      <c r="AB16" s="21" t="str">
        <f t="shared" si="1"/>
        <v/>
      </c>
      <c r="AC16" s="22" t="str">
        <f t="shared" si="2"/>
        <v/>
      </c>
      <c r="AD16" s="23" t="str">
        <f>IF(AC16="","","   "&amp;INDEX(Results!$W$6:$W$18,MATCH(AC16,Results!$V$6:$V$18,1)))</f>
        <v/>
      </c>
    </row>
    <row r="17" spans="1:30" x14ac:dyDescent="0.2">
      <c r="A17" s="18">
        <f t="shared" ca="1" si="0"/>
        <v>12</v>
      </c>
      <c r="B17" s="38" t="str">
        <f>IF(Info!B17="Atlar şu ýeri","",Info!B17)</f>
        <v>Hojamuhammedow Guwanç</v>
      </c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20"/>
      <c r="AB17" s="21" t="str">
        <f t="shared" si="1"/>
        <v/>
      </c>
      <c r="AC17" s="22" t="str">
        <f t="shared" si="2"/>
        <v/>
      </c>
      <c r="AD17" s="23" t="str">
        <f>IF(AC17="","","   "&amp;INDEX(Results!$W$6:$W$18,MATCH(AC17,Results!$V$6:$V$18,1)))</f>
        <v/>
      </c>
    </row>
    <row r="18" spans="1:30" x14ac:dyDescent="0.2">
      <c r="A18" s="18">
        <f t="shared" ca="1" si="0"/>
        <v>13</v>
      </c>
      <c r="B18" s="38" t="str">
        <f>IF(Info!B18="Atlar şu ýeri","",Info!B18)</f>
        <v xml:space="preserve">Hojamämmedow  </v>
      </c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20"/>
      <c r="AB18" s="21" t="str">
        <f t="shared" si="1"/>
        <v/>
      </c>
      <c r="AC18" s="22" t="str">
        <f t="shared" si="2"/>
        <v/>
      </c>
      <c r="AD18" s="23" t="str">
        <f>IF(AC18="","","   "&amp;INDEX(Results!$W$6:$W$18,MATCH(AC18,Results!$V$6:$V$18,1)))</f>
        <v/>
      </c>
    </row>
    <row r="19" spans="1:30" x14ac:dyDescent="0.2">
      <c r="A19" s="18">
        <f t="shared" ca="1" si="0"/>
        <v>14</v>
      </c>
      <c r="B19" s="38" t="str">
        <f>IF(Info!B19="Atlar şu ýeri","",Info!B19)</f>
        <v>Hanowa Gülälek</v>
      </c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20"/>
      <c r="AB19" s="21" t="str">
        <f t="shared" si="1"/>
        <v/>
      </c>
      <c r="AC19" s="22" t="str">
        <f t="shared" si="2"/>
        <v/>
      </c>
      <c r="AD19" s="23" t="str">
        <f>IF(AC19="","","   "&amp;INDEX(Results!$W$6:$W$18,MATCH(AC19,Results!$V$6:$V$18,1)))</f>
        <v/>
      </c>
    </row>
    <row r="20" spans="1:30" x14ac:dyDescent="0.2">
      <c r="A20" s="18">
        <f t="shared" ca="1" si="0"/>
        <v>15</v>
      </c>
      <c r="B20" s="38" t="str">
        <f>IF(Info!B20="Atlar şu ýeri","",Info!B20)</f>
        <v>Husainow Serdar</v>
      </c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20"/>
      <c r="AB20" s="21" t="str">
        <f t="shared" si="1"/>
        <v/>
      </c>
      <c r="AC20" s="22" t="str">
        <f t="shared" si="2"/>
        <v/>
      </c>
      <c r="AD20" s="23" t="str">
        <f>IF(AC20="","","   "&amp;INDEX(Results!$W$6:$W$18,MATCH(AC20,Results!$V$6:$V$18,1)))</f>
        <v/>
      </c>
    </row>
    <row r="21" spans="1:30" x14ac:dyDescent="0.2">
      <c r="A21" s="18">
        <f t="shared" ca="1" si="0"/>
        <v>16</v>
      </c>
      <c r="B21" s="38" t="str">
        <f>IF(Info!B21="Atlar şu ýeri","",Info!B21)</f>
        <v>Orunowa Täçbibi</v>
      </c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20"/>
      <c r="AB21" s="21" t="str">
        <f t="shared" si="1"/>
        <v/>
      </c>
      <c r="AC21" s="22" t="str">
        <f t="shared" si="2"/>
        <v/>
      </c>
      <c r="AD21" s="23" t="str">
        <f>IF(AC21="","","   "&amp;INDEX(Results!$W$6:$W$18,MATCH(AC21,Results!$V$6:$V$18,1)))</f>
        <v/>
      </c>
    </row>
    <row r="22" spans="1:30" x14ac:dyDescent="0.2">
      <c r="A22" s="18">
        <f t="shared" ca="1" si="0"/>
        <v>17</v>
      </c>
      <c r="B22" s="38" t="str">
        <f>IF(Info!B22="Atlar şu ýeri","",Info!B22)</f>
        <v>Ilýasow Älem</v>
      </c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20"/>
      <c r="AB22" s="21" t="str">
        <f t="shared" si="1"/>
        <v/>
      </c>
      <c r="AC22" s="22" t="str">
        <f t="shared" si="2"/>
        <v/>
      </c>
      <c r="AD22" s="23" t="str">
        <f>IF(AC22="","","   "&amp;INDEX(Results!$W$6:$W$18,MATCH(AC22,Results!$V$6:$V$18,1)))</f>
        <v/>
      </c>
    </row>
    <row r="23" spans="1:30" x14ac:dyDescent="0.2">
      <c r="A23" s="18">
        <f t="shared" ca="1" si="0"/>
        <v>18</v>
      </c>
      <c r="B23" s="38" t="str">
        <f>IF(Info!B23="Atlar şu ýeri","",Info!B23)</f>
        <v>Karabaýew Begli</v>
      </c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20"/>
      <c r="AB23" s="21" t="str">
        <f t="shared" si="1"/>
        <v/>
      </c>
      <c r="AC23" s="22" t="str">
        <f t="shared" si="2"/>
        <v/>
      </c>
      <c r="AD23" s="23" t="str">
        <f>IF(AC23="","","   "&amp;INDEX(Results!$W$6:$W$18,MATCH(AC23,Results!$V$6:$V$18,1)))</f>
        <v/>
      </c>
    </row>
    <row r="24" spans="1:30" x14ac:dyDescent="0.2">
      <c r="A24" s="18">
        <f t="shared" ca="1" si="0"/>
        <v>19</v>
      </c>
      <c r="B24" s="38" t="str">
        <f>IF(Info!B24="Atlar şu ýeri","",Info!B24)</f>
        <v>Kurbanow Wekil</v>
      </c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20"/>
      <c r="AB24" s="21" t="str">
        <f t="shared" si="1"/>
        <v/>
      </c>
      <c r="AC24" s="22" t="str">
        <f t="shared" si="2"/>
        <v/>
      </c>
      <c r="AD24" s="23" t="str">
        <f>IF(AC24="","","   "&amp;INDEX(Results!$W$6:$W$18,MATCH(AC24,Results!$V$6:$V$18,1)))</f>
        <v/>
      </c>
    </row>
    <row r="25" spans="1:30" x14ac:dyDescent="0.2">
      <c r="A25" s="18">
        <f t="shared" ca="1" si="0"/>
        <v>20</v>
      </c>
      <c r="B25" s="38" t="str">
        <f>IF(Info!B25="Atlar şu ýeri","",Info!B25)</f>
        <v>Madraimow Seidjan</v>
      </c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20"/>
      <c r="AB25" s="21" t="str">
        <f t="shared" si="1"/>
        <v/>
      </c>
      <c r="AC25" s="22" t="str">
        <f t="shared" si="2"/>
        <v/>
      </c>
      <c r="AD25" s="23" t="str">
        <f>IF(AC25="","","   "&amp;INDEX(Results!$W$6:$W$18,MATCH(AC25,Results!$V$6:$V$18,1)))</f>
        <v/>
      </c>
    </row>
    <row r="26" spans="1:30" x14ac:dyDescent="0.2">
      <c r="A26" s="18">
        <f t="shared" ca="1" si="0"/>
        <v>21</v>
      </c>
      <c r="B26" s="38" t="str">
        <f>IF(Info!B26="Atlar şu ýeri","",Info!B26)</f>
        <v>Matmuradowa Gulnur</v>
      </c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20"/>
      <c r="AB26" s="21" t="str">
        <f t="shared" si="1"/>
        <v/>
      </c>
      <c r="AC26" s="22" t="str">
        <f t="shared" si="2"/>
        <v/>
      </c>
      <c r="AD26" s="23" t="str">
        <f>IF(AC26="","","   "&amp;INDEX(Results!$W$6:$W$18,MATCH(AC26,Results!$V$6:$V$18,1)))</f>
        <v/>
      </c>
    </row>
    <row r="27" spans="1:30" x14ac:dyDescent="0.2">
      <c r="A27" s="18">
        <f t="shared" ca="1" si="0"/>
        <v>22</v>
      </c>
      <c r="B27" s="38" t="str">
        <f>IF(Info!B27="Atlar şu ýeri","",Info!B27)</f>
        <v>Myradowa Aýjahan</v>
      </c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20"/>
      <c r="AB27" s="21" t="str">
        <f t="shared" si="1"/>
        <v/>
      </c>
      <c r="AC27" s="22" t="str">
        <f t="shared" si="2"/>
        <v/>
      </c>
      <c r="AD27" s="23" t="str">
        <f>IF(AC27="","","   "&amp;INDEX(Results!$W$6:$W$18,MATCH(AC27,Results!$V$6:$V$18,1)))</f>
        <v/>
      </c>
    </row>
    <row r="28" spans="1:30" x14ac:dyDescent="0.2">
      <c r="A28" s="18">
        <f t="shared" ca="1" si="0"/>
        <v>23</v>
      </c>
      <c r="B28" s="38" t="str">
        <f>IF(Info!B28="Atlar şu ýeri","",Info!B28)</f>
        <v>Osmanowa Ýyldyz</v>
      </c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20"/>
      <c r="AB28" s="21" t="str">
        <f t="shared" si="1"/>
        <v/>
      </c>
      <c r="AC28" s="22" t="str">
        <f t="shared" si="2"/>
        <v/>
      </c>
      <c r="AD28" s="23" t="str">
        <f>IF(AC28="","","   "&amp;INDEX(Results!$W$6:$W$18,MATCH(AC28,Results!$V$6:$V$18,1)))</f>
        <v/>
      </c>
    </row>
    <row r="29" spans="1:30" x14ac:dyDescent="0.2">
      <c r="A29" s="18">
        <f t="shared" ca="1" si="0"/>
        <v>24</v>
      </c>
      <c r="B29" s="38" t="str">
        <f>IF(Info!B29="Atlar şu ýeri","",Info!B29)</f>
        <v>Orazowa Aýnur</v>
      </c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20"/>
      <c r="AB29" s="21" t="str">
        <f t="shared" si="1"/>
        <v/>
      </c>
      <c r="AC29" s="22" t="str">
        <f t="shared" si="2"/>
        <v/>
      </c>
      <c r="AD29" s="23" t="str">
        <f>IF(AC29="","","   "&amp;INDEX(Results!$W$6:$W$18,MATCH(AC29,Results!$V$6:$V$18,1)))</f>
        <v/>
      </c>
    </row>
    <row r="30" spans="1:30" x14ac:dyDescent="0.2">
      <c r="A30" s="18">
        <f t="shared" ca="1" si="0"/>
        <v>25</v>
      </c>
      <c r="B30" s="38" t="str">
        <f>IF(Info!B30="Atlar şu ýeri","",Info!B30)</f>
        <v>Orunowa Aýjemal</v>
      </c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20"/>
      <c r="AB30" s="21" t="str">
        <f t="shared" si="1"/>
        <v/>
      </c>
      <c r="AC30" s="22" t="str">
        <f t="shared" si="2"/>
        <v/>
      </c>
      <c r="AD30" s="23" t="str">
        <f>IF(AC30="","","   "&amp;INDEX(Results!$W$6:$W$18,MATCH(AC30,Results!$V$6:$V$18,1)))</f>
        <v/>
      </c>
    </row>
    <row r="31" spans="1:30" x14ac:dyDescent="0.2">
      <c r="A31" s="18">
        <f t="shared" ca="1" si="0"/>
        <v>26</v>
      </c>
      <c r="B31" s="38" t="str">
        <f>IF(Info!B31="Atlar şu ýeri","",Info!B31)</f>
        <v>Öwezow Döwlet</v>
      </c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20"/>
      <c r="AB31" s="21" t="str">
        <f t="shared" si="1"/>
        <v/>
      </c>
      <c r="AC31" s="22" t="str">
        <f t="shared" si="2"/>
        <v/>
      </c>
      <c r="AD31" s="23" t="str">
        <f>IF(AC31="","","   "&amp;INDEX(Results!$W$6:$W$18,MATCH(AC31,Results!$V$6:$V$18,1)))</f>
        <v/>
      </c>
    </row>
    <row r="32" spans="1:30" x14ac:dyDescent="0.2">
      <c r="A32" s="18">
        <f t="shared" ca="1" si="0"/>
        <v>27</v>
      </c>
      <c r="B32" s="38" t="str">
        <f>IF(Info!B32="Atlar şu ýeri","",Info!B32)</f>
        <v>Piriýew Aýhan</v>
      </c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20"/>
      <c r="AB32" s="21" t="str">
        <f t="shared" si="1"/>
        <v/>
      </c>
      <c r="AC32" s="22" t="str">
        <f t="shared" si="2"/>
        <v/>
      </c>
      <c r="AD32" s="23" t="str">
        <f>IF(AC32="","","   "&amp;INDEX(Results!$W$6:$W$18,MATCH(AC32,Results!$V$6:$V$18,1)))</f>
        <v/>
      </c>
    </row>
    <row r="33" spans="1:32" x14ac:dyDescent="0.2">
      <c r="A33" s="18">
        <f t="shared" ca="1" si="0"/>
        <v>28</v>
      </c>
      <c r="B33" s="38" t="str">
        <f>IF(Info!B33="Atlar şu ýeri","",Info!B33)</f>
        <v>Taganow Sanjar</v>
      </c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20"/>
      <c r="AB33" s="21" t="str">
        <f t="shared" si="1"/>
        <v/>
      </c>
      <c r="AC33" s="22" t="str">
        <f t="shared" si="2"/>
        <v/>
      </c>
      <c r="AD33" s="23" t="str">
        <f>IF(AC33="","","   "&amp;INDEX(Results!$W$6:$W$18,MATCH(AC33,Results!$V$6:$V$18,1)))</f>
        <v/>
      </c>
    </row>
    <row r="34" spans="1:32" x14ac:dyDescent="0.2">
      <c r="A34" s="18">
        <f t="shared" ca="1" si="0"/>
        <v>29</v>
      </c>
      <c r="B34" s="38" t="str">
        <f>IF(Info!B34="Atlar şu ýeri","",Info!B34)</f>
        <v>Weliýew Öwez</v>
      </c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20"/>
      <c r="AB34" s="21" t="str">
        <f t="shared" si="1"/>
        <v/>
      </c>
      <c r="AC34" s="22" t="str">
        <f t="shared" si="2"/>
        <v/>
      </c>
      <c r="AD34" s="23" t="str">
        <f>IF(AC34="","","   "&amp;INDEX(Results!$W$6:$W$18,MATCH(AC34,Results!$V$6:$V$18,1)))</f>
        <v/>
      </c>
    </row>
    <row r="35" spans="1:32" x14ac:dyDescent="0.2">
      <c r="A35" s="18">
        <f t="shared" ca="1" si="0"/>
        <v>30</v>
      </c>
      <c r="B35" s="38" t="str">
        <f>IF(Info!B35="Atlar şu ýeri","",Info!B35)</f>
        <v>Ýagşybaýew Muhammet</v>
      </c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20"/>
      <c r="AB35" s="21" t="str">
        <f t="shared" si="1"/>
        <v/>
      </c>
      <c r="AC35" s="22" t="str">
        <f t="shared" si="2"/>
        <v/>
      </c>
      <c r="AD35" s="23" t="str">
        <f>IF(AC35="","","   "&amp;INDEX(Results!$W$6:$W$18,MATCH(AC35,Results!$V$6:$V$18,1)))</f>
        <v/>
      </c>
    </row>
    <row r="36" spans="1:32" x14ac:dyDescent="0.2">
      <c r="A36" s="18">
        <f t="shared" ca="1" si="0"/>
        <v>31</v>
      </c>
      <c r="B36" s="38" t="str">
        <f>IF(Info!B36="Atlar şu ýeri","",Info!B36)</f>
        <v>Ýazberdiýewa Söýli</v>
      </c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20"/>
      <c r="AB36" s="21" t="str">
        <f t="shared" si="1"/>
        <v/>
      </c>
      <c r="AC36" s="22" t="str">
        <f t="shared" si="2"/>
        <v/>
      </c>
      <c r="AD36" s="23" t="str">
        <f>IF(AC36="","","   "&amp;INDEX(Results!$W$6:$W$18,MATCH(AC36,Results!$V$6:$V$18,1)))</f>
        <v/>
      </c>
    </row>
    <row r="37" spans="1:32" x14ac:dyDescent="0.2">
      <c r="A37" s="18">
        <f t="shared" ca="1" si="0"/>
        <v>32</v>
      </c>
      <c r="B37" s="38" t="str">
        <f>IF(Info!B37="Atlar şu ýeri","",Info!B37)</f>
        <v>Ýazyýewa Meňli</v>
      </c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20"/>
      <c r="AB37" s="21" t="str">
        <f t="shared" si="1"/>
        <v/>
      </c>
      <c r="AC37" s="22" t="str">
        <f t="shared" si="2"/>
        <v/>
      </c>
      <c r="AD37" s="23" t="str">
        <f>IF(AC37="","","   "&amp;INDEX(Results!$W$6:$W$18,MATCH(AC37,Results!$V$6:$V$18,1)))</f>
        <v/>
      </c>
    </row>
    <row r="38" spans="1:32" x14ac:dyDescent="0.2">
      <c r="A38" s="18">
        <f t="shared" ca="1" si="0"/>
        <v>33</v>
      </c>
      <c r="B38" s="38" t="str">
        <f>IF(Info!B38="Atlar şu ýeri","",Info!B38)</f>
        <v>Ýunusow Ýunus</v>
      </c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20"/>
      <c r="AB38" s="21" t="str">
        <f t="shared" si="1"/>
        <v/>
      </c>
      <c r="AC38" s="22" t="str">
        <f t="shared" si="2"/>
        <v/>
      </c>
      <c r="AD38" s="23" t="str">
        <f>IF(AC38="","","   "&amp;INDEX(Results!$W$6:$W$18,MATCH(AC38,Results!$V$6:$V$18,1)))</f>
        <v/>
      </c>
    </row>
    <row r="39" spans="1:32" x14ac:dyDescent="0.2">
      <c r="A39" s="18">
        <f t="shared" ca="1" si="0"/>
        <v>34</v>
      </c>
      <c r="B39" s="38" t="str">
        <f>IF(Info!B39="Atlar şu ýeri","",Info!B39)</f>
        <v>Ýusupowa  Jahan</v>
      </c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20"/>
      <c r="AB39" s="21" t="str">
        <f t="shared" si="1"/>
        <v/>
      </c>
      <c r="AC39" s="22" t="str">
        <f t="shared" si="2"/>
        <v/>
      </c>
      <c r="AD39" s="23" t="str">
        <f>IF(AC39="","","   "&amp;INDEX(Results!$W$6:$W$18,MATCH(AC39,Results!$V$6:$V$18,1)))</f>
        <v/>
      </c>
    </row>
    <row r="40" spans="1:32" x14ac:dyDescent="0.2">
      <c r="A40" s="18">
        <f t="shared" ca="1" si="0"/>
        <v>35</v>
      </c>
      <c r="B40" s="38" t="str">
        <f>IF(Info!B40="Atlar şu ýeri","",Info!B40)</f>
        <v/>
      </c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20"/>
      <c r="AB40" s="21" t="str">
        <f t="shared" si="1"/>
        <v/>
      </c>
      <c r="AC40" s="22" t="str">
        <f t="shared" si="2"/>
        <v/>
      </c>
      <c r="AD40" s="23" t="str">
        <f>IF(AC40="","","   "&amp;INDEX(Results!$W$6:$W$18,MATCH(AC40,Results!$V$6:$V$18,1)))</f>
        <v/>
      </c>
    </row>
    <row r="41" spans="1:32" x14ac:dyDescent="0.2">
      <c r="A41" s="18">
        <f t="shared" ca="1" si="0"/>
        <v>36</v>
      </c>
      <c r="B41" s="38" t="str">
        <f>IF(Info!B41="Atlar şu ýeri","",Info!B41)</f>
        <v/>
      </c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20"/>
      <c r="AB41" s="21" t="str">
        <f t="shared" si="1"/>
        <v/>
      </c>
      <c r="AC41" s="22" t="str">
        <f t="shared" si="2"/>
        <v/>
      </c>
      <c r="AD41" s="23" t="str">
        <f>IF(AC41="","","   "&amp;INDEX(Results!$W$6:$W$18,MATCH(AC41,Results!$V$6:$V$18,1)))</f>
        <v/>
      </c>
    </row>
    <row r="42" spans="1:32" x14ac:dyDescent="0.2">
      <c r="A42" s="18">
        <f t="shared" ca="1" si="0"/>
        <v>37</v>
      </c>
      <c r="B42" s="38" t="str">
        <f>IF(Info!B42="Atlar şu ýeri","",Info!B42)</f>
        <v/>
      </c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20"/>
      <c r="AB42" s="21" t="str">
        <f t="shared" si="1"/>
        <v/>
      </c>
      <c r="AC42" s="22" t="str">
        <f t="shared" si="2"/>
        <v/>
      </c>
      <c r="AD42" s="23" t="str">
        <f>IF(AC42="","","   "&amp;INDEX(Results!$W$6:$W$18,MATCH(AC42,Results!$V$6:$V$18,1)))</f>
        <v/>
      </c>
    </row>
    <row r="43" spans="1:32" x14ac:dyDescent="0.2">
      <c r="A43" s="18">
        <f t="shared" ca="1" si="0"/>
        <v>38</v>
      </c>
      <c r="B43" s="38" t="str">
        <f>IF(Info!B43="Atlar şu ýeri","",Info!B43)</f>
        <v/>
      </c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20"/>
      <c r="AB43" s="21" t="str">
        <f t="shared" si="1"/>
        <v/>
      </c>
      <c r="AC43" s="22" t="str">
        <f t="shared" si="2"/>
        <v/>
      </c>
      <c r="AD43" s="23" t="str">
        <f>IF(AC43="","","   "&amp;INDEX(Results!$W$6:$W$18,MATCH(AC43,Results!$V$6:$V$18,1)))</f>
        <v/>
      </c>
    </row>
    <row r="44" spans="1:32" x14ac:dyDescent="0.2">
      <c r="A44" s="18">
        <f t="shared" ca="1" si="0"/>
        <v>39</v>
      </c>
      <c r="B44" s="38" t="str">
        <f>IF(Info!B44="Atlar şu ýeri","",Info!B44)</f>
        <v/>
      </c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20"/>
      <c r="AB44" s="21" t="str">
        <f t="shared" si="1"/>
        <v/>
      </c>
      <c r="AC44" s="22" t="str">
        <f t="shared" si="2"/>
        <v/>
      </c>
      <c r="AD44" s="23" t="str">
        <f>IF(AC44="","","   "&amp;INDEX(Results!$W$6:$W$18,MATCH(AC44,Results!$V$6:$V$18,1)))</f>
        <v/>
      </c>
    </row>
    <row r="45" spans="1:32" x14ac:dyDescent="0.2">
      <c r="A45" s="18">
        <f t="shared" ca="1" si="0"/>
        <v>40</v>
      </c>
      <c r="B45" s="38" t="str">
        <f>IF(Info!B45="Atlar şu ýeri","",Info!B45)</f>
        <v/>
      </c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20"/>
      <c r="AB45" s="21" t="str">
        <f t="shared" si="1"/>
        <v/>
      </c>
      <c r="AC45" s="22" t="str">
        <f t="shared" si="2"/>
        <v/>
      </c>
      <c r="AD45" s="23" t="str">
        <f>IF(AC45="","","   "&amp;INDEX(Results!$W$6:$W$18,MATCH(AC45,Results!$V$6:$V$18,1)))</f>
        <v/>
      </c>
    </row>
    <row r="46" spans="1:32" x14ac:dyDescent="0.2">
      <c r="A46" s="24" t="s">
        <v>0</v>
      </c>
      <c r="B46" s="25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96">
        <v>1</v>
      </c>
      <c r="AA46" s="27"/>
      <c r="AB46" s="28"/>
      <c r="AC46" s="29"/>
      <c r="AD46" s="30"/>
    </row>
    <row r="47" spans="1:32" x14ac:dyDescent="0.2">
      <c r="A47" s="2"/>
      <c r="B47" s="31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AA47" s="27"/>
      <c r="AB47" s="33" t="s">
        <v>155</v>
      </c>
      <c r="AC47" s="34" t="e">
        <f>AVERAGE(AC6:AC46)</f>
        <v>#DIV/0!</v>
      </c>
      <c r="AD47" s="35" t="e">
        <f>IF(AC47="","",INDEX(Results!$W$6:$W$18,MATCH(AC47,Results!$V$6:$V$18,1)))</f>
        <v>#DIV/0!</v>
      </c>
      <c r="AF47" s="36"/>
    </row>
    <row r="48" spans="1:32" x14ac:dyDescent="0.2">
      <c r="A48" s="2"/>
      <c r="B48" s="31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27"/>
      <c r="AB48" s="90"/>
      <c r="AC48" s="91"/>
      <c r="AD48" s="92"/>
      <c r="AF48" s="36"/>
    </row>
    <row r="49" spans="1:30" x14ac:dyDescent="0.2">
      <c r="A49" s="2"/>
      <c r="B49" s="37"/>
      <c r="C49" s="32"/>
      <c r="D49" s="32"/>
      <c r="E49" s="32"/>
      <c r="F49" s="32"/>
      <c r="G49" s="32"/>
      <c r="H49" s="32"/>
      <c r="I49" s="93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27"/>
      <c r="AB49" s="2"/>
      <c r="AC49" s="2"/>
      <c r="AD49" s="2"/>
    </row>
  </sheetData>
  <mergeCells count="4">
    <mergeCell ref="AB3:AB4"/>
    <mergeCell ref="AC3:AC4"/>
    <mergeCell ref="AD3:AD4"/>
    <mergeCell ref="C1:T1"/>
  </mergeCell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F49"/>
  <sheetViews>
    <sheetView workbookViewId="0">
      <selection activeCell="V26" sqref="V26"/>
    </sheetView>
  </sheetViews>
  <sheetFormatPr defaultRowHeight="12.75" x14ac:dyDescent="0.2"/>
  <cols>
    <col min="1" max="1" width="3.7109375" style="1" customWidth="1"/>
    <col min="2" max="2" width="37.42578125" style="1" bestFit="1" customWidth="1"/>
    <col min="3" max="3" width="9" style="1" bestFit="1" customWidth="1"/>
    <col min="4" max="16" width="9" style="1" customWidth="1"/>
    <col min="17" max="18" width="7.140625" style="1" customWidth="1"/>
    <col min="19" max="19" width="7.85546875" style="1" bestFit="1" customWidth="1"/>
    <col min="20" max="26" width="7.140625" style="1" customWidth="1"/>
    <col min="27" max="27" width="1.42578125" style="1" customWidth="1"/>
    <col min="28" max="28" width="7.5703125" style="1" customWidth="1"/>
    <col min="29" max="29" width="10.5703125" style="1" bestFit="1" customWidth="1"/>
    <col min="30" max="30" width="6.85546875" style="1" customWidth="1"/>
    <col min="31" max="31" width="5.28515625" style="1" customWidth="1"/>
    <col min="32" max="32" width="16.7109375" style="1" customWidth="1"/>
    <col min="33" max="16384" width="9.140625" style="1"/>
  </cols>
  <sheetData>
    <row r="1" spans="1:30" ht="19.5" x14ac:dyDescent="0.3">
      <c r="A1" s="2"/>
      <c r="B1" s="3" t="s">
        <v>153</v>
      </c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87"/>
      <c r="V1" s="87"/>
      <c r="W1" s="4"/>
      <c r="X1" s="4"/>
      <c r="Y1" s="4"/>
      <c r="Z1" s="4"/>
      <c r="AA1" s="4"/>
      <c r="AB1" s="4"/>
      <c r="AC1" s="6"/>
      <c r="AD1" s="6"/>
    </row>
    <row r="2" spans="1:30" ht="15" x14ac:dyDescent="0.25">
      <c r="A2" s="2"/>
      <c r="B2" s="7" t="s">
        <v>165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10"/>
    </row>
    <row r="3" spans="1:30" ht="42" customHeight="1" x14ac:dyDescent="0.25">
      <c r="A3" s="11"/>
      <c r="B3" s="12" t="s">
        <v>148</v>
      </c>
      <c r="C3" s="13" t="s">
        <v>124</v>
      </c>
      <c r="D3" s="13" t="s">
        <v>125</v>
      </c>
      <c r="E3" s="13" t="s">
        <v>126</v>
      </c>
      <c r="F3" s="13" t="s">
        <v>127</v>
      </c>
      <c r="G3" s="13" t="s">
        <v>128</v>
      </c>
      <c r="H3" s="13" t="s">
        <v>129</v>
      </c>
      <c r="I3" s="13" t="s">
        <v>130</v>
      </c>
      <c r="J3" s="13" t="s">
        <v>131</v>
      </c>
      <c r="K3" s="13" t="s">
        <v>132</v>
      </c>
      <c r="L3" s="13" t="s">
        <v>133</v>
      </c>
      <c r="M3" s="13" t="s">
        <v>134</v>
      </c>
      <c r="N3" s="13" t="s">
        <v>135</v>
      </c>
      <c r="O3" s="13" t="s">
        <v>136</v>
      </c>
      <c r="P3" s="13" t="s">
        <v>137</v>
      </c>
      <c r="Q3" s="13" t="s">
        <v>138</v>
      </c>
      <c r="R3" s="13" t="s">
        <v>139</v>
      </c>
      <c r="S3" s="13" t="s">
        <v>140</v>
      </c>
      <c r="T3" s="13" t="s">
        <v>141</v>
      </c>
      <c r="U3" s="13" t="s">
        <v>142</v>
      </c>
      <c r="V3" s="13" t="s">
        <v>143</v>
      </c>
      <c r="W3" s="13" t="s">
        <v>144</v>
      </c>
      <c r="X3" s="13" t="s">
        <v>145</v>
      </c>
      <c r="Y3" s="13" t="s">
        <v>146</v>
      </c>
      <c r="Z3" s="13" t="s">
        <v>147</v>
      </c>
      <c r="AA3" s="14"/>
      <c r="AB3" s="97" t="s">
        <v>156</v>
      </c>
      <c r="AC3" s="98" t="s">
        <v>157</v>
      </c>
      <c r="AD3" s="99" t="s">
        <v>158</v>
      </c>
    </row>
    <row r="4" spans="1:30" x14ac:dyDescent="0.2">
      <c r="A4" s="11"/>
      <c r="B4" s="15" t="s">
        <v>154</v>
      </c>
      <c r="C4" s="16">
        <v>5</v>
      </c>
      <c r="D4" s="16">
        <v>5</v>
      </c>
      <c r="E4" s="16">
        <v>5</v>
      </c>
      <c r="F4" s="16">
        <v>5</v>
      </c>
      <c r="G4" s="16">
        <v>5</v>
      </c>
      <c r="H4" s="16">
        <v>5</v>
      </c>
      <c r="I4" s="16">
        <v>5</v>
      </c>
      <c r="J4" s="16">
        <v>5</v>
      </c>
      <c r="K4" s="16">
        <v>5</v>
      </c>
      <c r="L4" s="16">
        <v>5</v>
      </c>
      <c r="M4" s="16">
        <v>5</v>
      </c>
      <c r="N4" s="16">
        <v>5</v>
      </c>
      <c r="O4" s="16">
        <v>5</v>
      </c>
      <c r="P4" s="16">
        <v>5</v>
      </c>
      <c r="Q4" s="16">
        <v>5</v>
      </c>
      <c r="R4" s="16">
        <v>5</v>
      </c>
      <c r="S4" s="16">
        <v>5</v>
      </c>
      <c r="T4" s="16">
        <v>5</v>
      </c>
      <c r="U4" s="16">
        <v>5</v>
      </c>
      <c r="V4" s="16">
        <v>5</v>
      </c>
      <c r="W4" s="16">
        <v>5</v>
      </c>
      <c r="X4" s="16">
        <v>5</v>
      </c>
      <c r="Y4" s="16">
        <v>5</v>
      </c>
      <c r="Z4" s="16">
        <v>5</v>
      </c>
      <c r="AA4" s="17"/>
      <c r="AB4" s="97"/>
      <c r="AC4" s="97"/>
      <c r="AD4" s="97"/>
    </row>
    <row r="5" spans="1:30" ht="6" customHeight="1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18">
        <f t="shared" ref="A6:A45" ca="1" si="0">OFFSET(A6,-1,0,1,1)+1</f>
        <v>1</v>
      </c>
      <c r="B6" s="38" t="str">
        <f>IF(Info!B6="Atlar şu ýeri","",Info!B6)</f>
        <v>Abdullaýewa Dinara</v>
      </c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20"/>
      <c r="AB6" s="21" t="str">
        <f>IF(SUM(C6:Z6)=0,"",SUMPRODUCT(C6:Z6))</f>
        <v/>
      </c>
      <c r="AC6" s="22" t="str">
        <f>IF(SUM(C6:Z6)=0,"",AB6/(SUMIF(C6:Z6,"&lt;&gt;",$C$4:$Z$4)-SUMIF(C6:Z6,"=E",$C$4:$Z$4)))</f>
        <v/>
      </c>
      <c r="AD6" s="23" t="str">
        <f>IF(AC6="","","   "&amp;INDEX(Results!$W$6:$W$18,MATCH(AC6,Results!$V$6:$V$18,1)))</f>
        <v/>
      </c>
    </row>
    <row r="7" spans="1:30" x14ac:dyDescent="0.2">
      <c r="A7" s="18">
        <f t="shared" ca="1" si="0"/>
        <v>2</v>
      </c>
      <c r="B7" s="38" t="str">
        <f>IF(Info!B7="Atlar şu ýeri","",Info!B7)</f>
        <v>Arslanow Yhlas</v>
      </c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20"/>
      <c r="AB7" s="21" t="str">
        <f t="shared" ref="AB7:AB45" si="1">IF(SUM(C7:Z7)=0,"",SUMPRODUCT(C7:Z7))</f>
        <v/>
      </c>
      <c r="AC7" s="22" t="str">
        <f t="shared" ref="AC7:AC45" si="2">IF(SUM(C7:Z7)=0,"",AB7/(SUMIF(C7:Z7,"&lt;&gt;",$C$4:$Z$4)-SUMIF(C7:Z7,"=E",$C$4:$Z$4)))</f>
        <v/>
      </c>
      <c r="AD7" s="23" t="str">
        <f>IF(AC7="","","   "&amp;INDEX(Results!$W$6:$W$18,MATCH(AC7,Results!$V$6:$V$18,1)))</f>
        <v/>
      </c>
    </row>
    <row r="8" spans="1:30" x14ac:dyDescent="0.2">
      <c r="A8" s="18">
        <f t="shared" ca="1" si="0"/>
        <v>3</v>
      </c>
      <c r="B8" s="38" t="str">
        <f>IF(Info!B8="Atlar şu ýeri","",Info!B8)</f>
        <v>Aşyrowa Maýsa</v>
      </c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20"/>
      <c r="AB8" s="21" t="str">
        <f t="shared" si="1"/>
        <v/>
      </c>
      <c r="AC8" s="22" t="str">
        <f t="shared" si="2"/>
        <v/>
      </c>
      <c r="AD8" s="23" t="str">
        <f>IF(AC8="","","   "&amp;INDEX(Results!$W$6:$W$18,MATCH(AC8,Results!$V$6:$V$18,1)))</f>
        <v/>
      </c>
    </row>
    <row r="9" spans="1:30" x14ac:dyDescent="0.2">
      <c r="A9" s="18">
        <f t="shared" ca="1" si="0"/>
        <v>4</v>
      </c>
      <c r="B9" s="38" t="str">
        <f>IF(Info!B9="Atlar şu ýeri","",Info!B9)</f>
        <v>Atabaýewa Ogulaý</v>
      </c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20"/>
      <c r="AB9" s="21" t="str">
        <f t="shared" si="1"/>
        <v/>
      </c>
      <c r="AC9" s="22" t="str">
        <f t="shared" si="2"/>
        <v/>
      </c>
      <c r="AD9" s="23" t="str">
        <f>IF(AC9="","","   "&amp;INDEX(Results!$W$6:$W$18,MATCH(AC9,Results!$V$6:$V$18,1)))</f>
        <v/>
      </c>
    </row>
    <row r="10" spans="1:30" x14ac:dyDescent="0.2">
      <c r="A10" s="18">
        <f t="shared" ca="1" si="0"/>
        <v>5</v>
      </c>
      <c r="B10" s="38" t="str">
        <f>IF(Info!B10="Atlar şu ýeri","",Info!B10)</f>
        <v>Atanazarow Meýlis</v>
      </c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20"/>
      <c r="AB10" s="21" t="str">
        <f t="shared" si="1"/>
        <v/>
      </c>
      <c r="AC10" s="22" t="str">
        <f t="shared" si="2"/>
        <v/>
      </c>
      <c r="AD10" s="23" t="str">
        <f>IF(AC10="","","   "&amp;INDEX(Results!$W$6:$W$18,MATCH(AC10,Results!$V$6:$V$18,1)))</f>
        <v/>
      </c>
    </row>
    <row r="11" spans="1:30" x14ac:dyDescent="0.2">
      <c r="A11" s="18">
        <f t="shared" ca="1" si="0"/>
        <v>6</v>
      </c>
      <c r="B11" s="38" t="str">
        <f>IF(Info!B11="Atlar şu ýeri","",Info!B11)</f>
        <v>Babajanowa Aýlar</v>
      </c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20"/>
      <c r="AB11" s="21" t="str">
        <f t="shared" si="1"/>
        <v/>
      </c>
      <c r="AC11" s="22" t="str">
        <f t="shared" si="2"/>
        <v/>
      </c>
      <c r="AD11" s="23" t="str">
        <f>IF(AC11="","","   "&amp;INDEX(Results!$W$6:$W$18,MATCH(AC11,Results!$V$6:$V$18,1)))</f>
        <v/>
      </c>
    </row>
    <row r="12" spans="1:30" x14ac:dyDescent="0.2">
      <c r="A12" s="18">
        <f t="shared" ca="1" si="0"/>
        <v>7</v>
      </c>
      <c r="B12" s="38" t="str">
        <f>IF(Info!B12="Atlar şu ýeri","",Info!B12)</f>
        <v>Babajanowa Selbi</v>
      </c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20"/>
      <c r="AB12" s="21" t="str">
        <f t="shared" si="1"/>
        <v/>
      </c>
      <c r="AC12" s="22" t="str">
        <f t="shared" si="2"/>
        <v/>
      </c>
      <c r="AD12" s="23" t="str">
        <f>IF(AC12="","","   "&amp;INDEX(Results!$W$6:$W$18,MATCH(AC12,Results!$V$6:$V$18,1)))</f>
        <v/>
      </c>
    </row>
    <row r="13" spans="1:30" x14ac:dyDescent="0.2">
      <c r="A13" s="18">
        <f t="shared" ca="1" si="0"/>
        <v>8</v>
      </c>
      <c r="B13" s="38" t="str">
        <f>IF(Info!B13="Atlar şu ýeri","",Info!B13)</f>
        <v>Ataýew Nurgeldi</v>
      </c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20"/>
      <c r="AB13" s="21" t="str">
        <f t="shared" si="1"/>
        <v/>
      </c>
      <c r="AC13" s="22" t="str">
        <f t="shared" si="2"/>
        <v/>
      </c>
      <c r="AD13" s="23" t="str">
        <f>IF(AC13="","","   "&amp;INDEX(Results!$W$6:$W$18,MATCH(AC13,Results!$V$6:$V$18,1)))</f>
        <v/>
      </c>
    </row>
    <row r="14" spans="1:30" x14ac:dyDescent="0.2">
      <c r="A14" s="18">
        <f t="shared" ca="1" si="0"/>
        <v>9</v>
      </c>
      <c r="B14" s="38" t="str">
        <f>IF(Info!B14="Atlar şu ýeri","",Info!B14)</f>
        <v>Batyrow Arafat</v>
      </c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20"/>
      <c r="AB14" s="21" t="str">
        <f t="shared" si="1"/>
        <v/>
      </c>
      <c r="AC14" s="22" t="str">
        <f t="shared" si="2"/>
        <v/>
      </c>
      <c r="AD14" s="23" t="str">
        <f>IF(AC14="","","   "&amp;INDEX(Results!$W$6:$W$18,MATCH(AC14,Results!$V$6:$V$18,1)))</f>
        <v/>
      </c>
    </row>
    <row r="15" spans="1:30" x14ac:dyDescent="0.2">
      <c r="A15" s="18">
        <f t="shared" ca="1" si="0"/>
        <v>10</v>
      </c>
      <c r="B15" s="38" t="str">
        <f>IF(Info!B15="Atlar şu ýeri","",Info!B15)</f>
        <v>Çaryýew Kemal</v>
      </c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20"/>
      <c r="AB15" s="21" t="str">
        <f t="shared" si="1"/>
        <v/>
      </c>
      <c r="AC15" s="22" t="str">
        <f t="shared" si="2"/>
        <v/>
      </c>
      <c r="AD15" s="23" t="str">
        <f>IF(AC15="","","   "&amp;INDEX(Results!$W$6:$W$18,MATCH(AC15,Results!$V$6:$V$18,1)))</f>
        <v/>
      </c>
    </row>
    <row r="16" spans="1:30" x14ac:dyDescent="0.2">
      <c r="A16" s="18">
        <f t="shared" ca="1" si="0"/>
        <v>11</v>
      </c>
      <c r="B16" s="38" t="str">
        <f>IF(Info!B16="Atlar şu ýeri","",Info!B16)</f>
        <v>Gurbanow Mekanmyrat</v>
      </c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20"/>
      <c r="AB16" s="21" t="str">
        <f t="shared" si="1"/>
        <v/>
      </c>
      <c r="AC16" s="22" t="str">
        <f t="shared" si="2"/>
        <v/>
      </c>
      <c r="AD16" s="23" t="str">
        <f>IF(AC16="","","   "&amp;INDEX(Results!$W$6:$W$18,MATCH(AC16,Results!$V$6:$V$18,1)))</f>
        <v/>
      </c>
    </row>
    <row r="17" spans="1:30" x14ac:dyDescent="0.2">
      <c r="A17" s="18">
        <f t="shared" ca="1" si="0"/>
        <v>12</v>
      </c>
      <c r="B17" s="38" t="str">
        <f>IF(Info!B17="Atlar şu ýeri","",Info!B17)</f>
        <v>Hojamuhammedow Guwanç</v>
      </c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20"/>
      <c r="AB17" s="21" t="str">
        <f t="shared" si="1"/>
        <v/>
      </c>
      <c r="AC17" s="22" t="str">
        <f t="shared" si="2"/>
        <v/>
      </c>
      <c r="AD17" s="23" t="str">
        <f>IF(AC17="","","   "&amp;INDEX(Results!$W$6:$W$18,MATCH(AC17,Results!$V$6:$V$18,1)))</f>
        <v/>
      </c>
    </row>
    <row r="18" spans="1:30" x14ac:dyDescent="0.2">
      <c r="A18" s="18">
        <f t="shared" ca="1" si="0"/>
        <v>13</v>
      </c>
      <c r="B18" s="38" t="str">
        <f>IF(Info!B18="Atlar şu ýeri","",Info!B18)</f>
        <v xml:space="preserve">Hojamämmedow  </v>
      </c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20"/>
      <c r="AB18" s="21" t="str">
        <f t="shared" si="1"/>
        <v/>
      </c>
      <c r="AC18" s="22" t="str">
        <f t="shared" si="2"/>
        <v/>
      </c>
      <c r="AD18" s="23" t="str">
        <f>IF(AC18="","","   "&amp;INDEX(Results!$W$6:$W$18,MATCH(AC18,Results!$V$6:$V$18,1)))</f>
        <v/>
      </c>
    </row>
    <row r="19" spans="1:30" x14ac:dyDescent="0.2">
      <c r="A19" s="18">
        <f t="shared" ca="1" si="0"/>
        <v>14</v>
      </c>
      <c r="B19" s="38" t="str">
        <f>IF(Info!B19="Atlar şu ýeri","",Info!B19)</f>
        <v>Hanowa Gülälek</v>
      </c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20"/>
      <c r="AB19" s="21" t="str">
        <f t="shared" si="1"/>
        <v/>
      </c>
      <c r="AC19" s="22" t="str">
        <f t="shared" si="2"/>
        <v/>
      </c>
      <c r="AD19" s="23" t="str">
        <f>IF(AC19="","","   "&amp;INDEX(Results!$W$6:$W$18,MATCH(AC19,Results!$V$6:$V$18,1)))</f>
        <v/>
      </c>
    </row>
    <row r="20" spans="1:30" x14ac:dyDescent="0.2">
      <c r="A20" s="18">
        <f t="shared" ca="1" si="0"/>
        <v>15</v>
      </c>
      <c r="B20" s="38" t="str">
        <f>IF(Info!B20="Atlar şu ýeri","",Info!B20)</f>
        <v>Husainow Serdar</v>
      </c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20"/>
      <c r="AB20" s="21" t="str">
        <f t="shared" si="1"/>
        <v/>
      </c>
      <c r="AC20" s="22" t="str">
        <f t="shared" si="2"/>
        <v/>
      </c>
      <c r="AD20" s="23" t="str">
        <f>IF(AC20="","","   "&amp;INDEX(Results!$W$6:$W$18,MATCH(AC20,Results!$V$6:$V$18,1)))</f>
        <v/>
      </c>
    </row>
    <row r="21" spans="1:30" x14ac:dyDescent="0.2">
      <c r="A21" s="18">
        <f t="shared" ca="1" si="0"/>
        <v>16</v>
      </c>
      <c r="B21" s="38" t="str">
        <f>IF(Info!B21="Atlar şu ýeri","",Info!B21)</f>
        <v>Orunowa Täçbibi</v>
      </c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20"/>
      <c r="AB21" s="21" t="str">
        <f t="shared" si="1"/>
        <v/>
      </c>
      <c r="AC21" s="22" t="str">
        <f t="shared" si="2"/>
        <v/>
      </c>
      <c r="AD21" s="23" t="str">
        <f>IF(AC21="","","   "&amp;INDEX(Results!$W$6:$W$18,MATCH(AC21,Results!$V$6:$V$18,1)))</f>
        <v/>
      </c>
    </row>
    <row r="22" spans="1:30" x14ac:dyDescent="0.2">
      <c r="A22" s="18">
        <f t="shared" ca="1" si="0"/>
        <v>17</v>
      </c>
      <c r="B22" s="38" t="str">
        <f>IF(Info!B22="Atlar şu ýeri","",Info!B22)</f>
        <v>Ilýasow Älem</v>
      </c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20"/>
      <c r="AB22" s="21" t="str">
        <f t="shared" si="1"/>
        <v/>
      </c>
      <c r="AC22" s="22" t="str">
        <f t="shared" si="2"/>
        <v/>
      </c>
      <c r="AD22" s="23" t="str">
        <f>IF(AC22="","","   "&amp;INDEX(Results!$W$6:$W$18,MATCH(AC22,Results!$V$6:$V$18,1)))</f>
        <v/>
      </c>
    </row>
    <row r="23" spans="1:30" x14ac:dyDescent="0.2">
      <c r="A23" s="18">
        <f t="shared" ca="1" si="0"/>
        <v>18</v>
      </c>
      <c r="B23" s="38" t="str">
        <f>IF(Info!B23="Atlar şu ýeri","",Info!B23)</f>
        <v>Karabaýew Begli</v>
      </c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20"/>
      <c r="AB23" s="21" t="str">
        <f t="shared" si="1"/>
        <v/>
      </c>
      <c r="AC23" s="22" t="str">
        <f t="shared" si="2"/>
        <v/>
      </c>
      <c r="AD23" s="23" t="str">
        <f>IF(AC23="","","   "&amp;INDEX(Results!$W$6:$W$18,MATCH(AC23,Results!$V$6:$V$18,1)))</f>
        <v/>
      </c>
    </row>
    <row r="24" spans="1:30" x14ac:dyDescent="0.2">
      <c r="A24" s="18">
        <f t="shared" ca="1" si="0"/>
        <v>19</v>
      </c>
      <c r="B24" s="38" t="str">
        <f>IF(Info!B24="Atlar şu ýeri","",Info!B24)</f>
        <v>Kurbanow Wekil</v>
      </c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20"/>
      <c r="AB24" s="21" t="str">
        <f t="shared" si="1"/>
        <v/>
      </c>
      <c r="AC24" s="22" t="str">
        <f t="shared" si="2"/>
        <v/>
      </c>
      <c r="AD24" s="23" t="str">
        <f>IF(AC24="","","   "&amp;INDEX(Results!$W$6:$W$18,MATCH(AC24,Results!$V$6:$V$18,1)))</f>
        <v/>
      </c>
    </row>
    <row r="25" spans="1:30" x14ac:dyDescent="0.2">
      <c r="A25" s="18">
        <f t="shared" ca="1" si="0"/>
        <v>20</v>
      </c>
      <c r="B25" s="38" t="str">
        <f>IF(Info!B25="Atlar şu ýeri","",Info!B25)</f>
        <v>Madraimow Seidjan</v>
      </c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20"/>
      <c r="AB25" s="21" t="str">
        <f t="shared" si="1"/>
        <v/>
      </c>
      <c r="AC25" s="22" t="str">
        <f t="shared" si="2"/>
        <v/>
      </c>
      <c r="AD25" s="23" t="str">
        <f>IF(AC25="","","   "&amp;INDEX(Results!$W$6:$W$18,MATCH(AC25,Results!$V$6:$V$18,1)))</f>
        <v/>
      </c>
    </row>
    <row r="26" spans="1:30" x14ac:dyDescent="0.2">
      <c r="A26" s="18">
        <f t="shared" ca="1" si="0"/>
        <v>21</v>
      </c>
      <c r="B26" s="38" t="str">
        <f>IF(Info!B26="Atlar şu ýeri","",Info!B26)</f>
        <v>Matmuradowa Gulnur</v>
      </c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20"/>
      <c r="AB26" s="21" t="str">
        <f t="shared" si="1"/>
        <v/>
      </c>
      <c r="AC26" s="22" t="str">
        <f t="shared" si="2"/>
        <v/>
      </c>
      <c r="AD26" s="23" t="str">
        <f>IF(AC26="","","   "&amp;INDEX(Results!$W$6:$W$18,MATCH(AC26,Results!$V$6:$V$18,1)))</f>
        <v/>
      </c>
    </row>
    <row r="27" spans="1:30" x14ac:dyDescent="0.2">
      <c r="A27" s="18">
        <f t="shared" ca="1" si="0"/>
        <v>22</v>
      </c>
      <c r="B27" s="38" t="str">
        <f>IF(Info!B27="Atlar şu ýeri","",Info!B27)</f>
        <v>Myradowa Aýjahan</v>
      </c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20"/>
      <c r="AB27" s="21" t="str">
        <f t="shared" si="1"/>
        <v/>
      </c>
      <c r="AC27" s="22" t="str">
        <f t="shared" si="2"/>
        <v/>
      </c>
      <c r="AD27" s="23" t="str">
        <f>IF(AC27="","","   "&amp;INDEX(Results!$W$6:$W$18,MATCH(AC27,Results!$V$6:$V$18,1)))</f>
        <v/>
      </c>
    </row>
    <row r="28" spans="1:30" x14ac:dyDescent="0.2">
      <c r="A28" s="18">
        <f t="shared" ca="1" si="0"/>
        <v>23</v>
      </c>
      <c r="B28" s="38" t="str">
        <f>IF(Info!B28="Atlar şu ýeri","",Info!B28)</f>
        <v>Osmanowa Ýyldyz</v>
      </c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20"/>
      <c r="AB28" s="21" t="str">
        <f t="shared" si="1"/>
        <v/>
      </c>
      <c r="AC28" s="22" t="str">
        <f t="shared" si="2"/>
        <v/>
      </c>
      <c r="AD28" s="23" t="str">
        <f>IF(AC28="","","   "&amp;INDEX(Results!$W$6:$W$18,MATCH(AC28,Results!$V$6:$V$18,1)))</f>
        <v/>
      </c>
    </row>
    <row r="29" spans="1:30" x14ac:dyDescent="0.2">
      <c r="A29" s="18">
        <f t="shared" ca="1" si="0"/>
        <v>24</v>
      </c>
      <c r="B29" s="38" t="str">
        <f>IF(Info!B29="Atlar şu ýeri","",Info!B29)</f>
        <v>Orazowa Aýnur</v>
      </c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20"/>
      <c r="AB29" s="21" t="str">
        <f t="shared" si="1"/>
        <v/>
      </c>
      <c r="AC29" s="22" t="str">
        <f t="shared" si="2"/>
        <v/>
      </c>
      <c r="AD29" s="23" t="str">
        <f>IF(AC29="","","   "&amp;INDEX(Results!$W$6:$W$18,MATCH(AC29,Results!$V$6:$V$18,1)))</f>
        <v/>
      </c>
    </row>
    <row r="30" spans="1:30" x14ac:dyDescent="0.2">
      <c r="A30" s="18">
        <f t="shared" ca="1" si="0"/>
        <v>25</v>
      </c>
      <c r="B30" s="38" t="str">
        <f>IF(Info!B30="Atlar şu ýeri","",Info!B30)</f>
        <v>Orunowa Aýjemal</v>
      </c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20"/>
      <c r="AB30" s="21" t="str">
        <f t="shared" si="1"/>
        <v/>
      </c>
      <c r="AC30" s="22" t="str">
        <f t="shared" si="2"/>
        <v/>
      </c>
      <c r="AD30" s="23" t="str">
        <f>IF(AC30="","","   "&amp;INDEX(Results!$W$6:$W$18,MATCH(AC30,Results!$V$6:$V$18,1)))</f>
        <v/>
      </c>
    </row>
    <row r="31" spans="1:30" x14ac:dyDescent="0.2">
      <c r="A31" s="18">
        <f t="shared" ca="1" si="0"/>
        <v>26</v>
      </c>
      <c r="B31" s="38" t="str">
        <f>IF(Info!B31="Atlar şu ýeri","",Info!B31)</f>
        <v>Öwezow Döwlet</v>
      </c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20"/>
      <c r="AB31" s="21" t="str">
        <f t="shared" si="1"/>
        <v/>
      </c>
      <c r="AC31" s="22" t="str">
        <f t="shared" si="2"/>
        <v/>
      </c>
      <c r="AD31" s="23" t="str">
        <f>IF(AC31="","","   "&amp;INDEX(Results!$W$6:$W$18,MATCH(AC31,Results!$V$6:$V$18,1)))</f>
        <v/>
      </c>
    </row>
    <row r="32" spans="1:30" x14ac:dyDescent="0.2">
      <c r="A32" s="18">
        <f t="shared" ca="1" si="0"/>
        <v>27</v>
      </c>
      <c r="B32" s="38" t="str">
        <f>IF(Info!B32="Atlar şu ýeri","",Info!B32)</f>
        <v>Piriýew Aýhan</v>
      </c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20"/>
      <c r="AB32" s="21" t="str">
        <f t="shared" si="1"/>
        <v/>
      </c>
      <c r="AC32" s="22" t="str">
        <f t="shared" si="2"/>
        <v/>
      </c>
      <c r="AD32" s="23" t="str">
        <f>IF(AC32="","","   "&amp;INDEX(Results!$W$6:$W$18,MATCH(AC32,Results!$V$6:$V$18,1)))</f>
        <v/>
      </c>
    </row>
    <row r="33" spans="1:32" x14ac:dyDescent="0.2">
      <c r="A33" s="18">
        <f t="shared" ca="1" si="0"/>
        <v>28</v>
      </c>
      <c r="B33" s="38" t="str">
        <f>IF(Info!B33="Atlar şu ýeri","",Info!B33)</f>
        <v>Taganow Sanjar</v>
      </c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20"/>
      <c r="AB33" s="21" t="str">
        <f t="shared" si="1"/>
        <v/>
      </c>
      <c r="AC33" s="22" t="str">
        <f t="shared" si="2"/>
        <v/>
      </c>
      <c r="AD33" s="23" t="str">
        <f>IF(AC33="","","   "&amp;INDEX(Results!$W$6:$W$18,MATCH(AC33,Results!$V$6:$V$18,1)))</f>
        <v/>
      </c>
    </row>
    <row r="34" spans="1:32" x14ac:dyDescent="0.2">
      <c r="A34" s="18">
        <f t="shared" ca="1" si="0"/>
        <v>29</v>
      </c>
      <c r="B34" s="38" t="str">
        <f>IF(Info!B34="Atlar şu ýeri","",Info!B34)</f>
        <v>Weliýew Öwez</v>
      </c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20"/>
      <c r="AB34" s="21" t="str">
        <f t="shared" si="1"/>
        <v/>
      </c>
      <c r="AC34" s="22" t="str">
        <f t="shared" si="2"/>
        <v/>
      </c>
      <c r="AD34" s="23" t="str">
        <f>IF(AC34="","","   "&amp;INDEX(Results!$W$6:$W$18,MATCH(AC34,Results!$V$6:$V$18,1)))</f>
        <v/>
      </c>
    </row>
    <row r="35" spans="1:32" x14ac:dyDescent="0.2">
      <c r="A35" s="18">
        <f t="shared" ca="1" si="0"/>
        <v>30</v>
      </c>
      <c r="B35" s="38" t="str">
        <f>IF(Info!B35="Atlar şu ýeri","",Info!B35)</f>
        <v>Ýagşybaýew Muhammet</v>
      </c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20"/>
      <c r="AB35" s="21" t="str">
        <f t="shared" si="1"/>
        <v/>
      </c>
      <c r="AC35" s="22" t="str">
        <f t="shared" si="2"/>
        <v/>
      </c>
      <c r="AD35" s="23" t="str">
        <f>IF(AC35="","","   "&amp;INDEX(Results!$W$6:$W$18,MATCH(AC35,Results!$V$6:$V$18,1)))</f>
        <v/>
      </c>
    </row>
    <row r="36" spans="1:32" x14ac:dyDescent="0.2">
      <c r="A36" s="18">
        <f t="shared" ca="1" si="0"/>
        <v>31</v>
      </c>
      <c r="B36" s="38" t="str">
        <f>IF(Info!B36="Atlar şu ýeri","",Info!B36)</f>
        <v>Ýazberdiýewa Söýli</v>
      </c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20"/>
      <c r="AB36" s="21" t="str">
        <f t="shared" si="1"/>
        <v/>
      </c>
      <c r="AC36" s="22" t="str">
        <f t="shared" si="2"/>
        <v/>
      </c>
      <c r="AD36" s="23" t="str">
        <f>IF(AC36="","","   "&amp;INDEX(Results!$W$6:$W$18,MATCH(AC36,Results!$V$6:$V$18,1)))</f>
        <v/>
      </c>
    </row>
    <row r="37" spans="1:32" x14ac:dyDescent="0.2">
      <c r="A37" s="18">
        <f t="shared" ca="1" si="0"/>
        <v>32</v>
      </c>
      <c r="B37" s="38" t="str">
        <f>IF(Info!B37="Atlar şu ýeri","",Info!B37)</f>
        <v>Ýazyýewa Meňli</v>
      </c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20"/>
      <c r="AB37" s="21" t="str">
        <f t="shared" si="1"/>
        <v/>
      </c>
      <c r="AC37" s="22" t="str">
        <f t="shared" si="2"/>
        <v/>
      </c>
      <c r="AD37" s="23" t="str">
        <f>IF(AC37="","","   "&amp;INDEX(Results!$W$6:$W$18,MATCH(AC37,Results!$V$6:$V$18,1)))</f>
        <v/>
      </c>
    </row>
    <row r="38" spans="1:32" x14ac:dyDescent="0.2">
      <c r="A38" s="18">
        <f t="shared" ca="1" si="0"/>
        <v>33</v>
      </c>
      <c r="B38" s="38" t="str">
        <f>IF(Info!B38="Atlar şu ýeri","",Info!B38)</f>
        <v>Ýunusow Ýunus</v>
      </c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20"/>
      <c r="AB38" s="21" t="str">
        <f t="shared" si="1"/>
        <v/>
      </c>
      <c r="AC38" s="22" t="str">
        <f t="shared" si="2"/>
        <v/>
      </c>
      <c r="AD38" s="23" t="str">
        <f>IF(AC38="","","   "&amp;INDEX(Results!$W$6:$W$18,MATCH(AC38,Results!$V$6:$V$18,1)))</f>
        <v/>
      </c>
    </row>
    <row r="39" spans="1:32" x14ac:dyDescent="0.2">
      <c r="A39" s="18">
        <f t="shared" ca="1" si="0"/>
        <v>34</v>
      </c>
      <c r="B39" s="38" t="str">
        <f>IF(Info!B39="Atlar şu ýeri","",Info!B39)</f>
        <v>Ýusupowa  Jahan</v>
      </c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20"/>
      <c r="AB39" s="21" t="str">
        <f t="shared" si="1"/>
        <v/>
      </c>
      <c r="AC39" s="22" t="str">
        <f t="shared" si="2"/>
        <v/>
      </c>
      <c r="AD39" s="23" t="str">
        <f>IF(AC39="","","   "&amp;INDEX(Results!$W$6:$W$18,MATCH(AC39,Results!$V$6:$V$18,1)))</f>
        <v/>
      </c>
    </row>
    <row r="40" spans="1:32" x14ac:dyDescent="0.2">
      <c r="A40" s="18">
        <f t="shared" ca="1" si="0"/>
        <v>35</v>
      </c>
      <c r="B40" s="38" t="str">
        <f>IF(Info!B40="Atlar şu ýeri","",Info!B40)</f>
        <v/>
      </c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20"/>
      <c r="AB40" s="21" t="str">
        <f t="shared" si="1"/>
        <v/>
      </c>
      <c r="AC40" s="22" t="str">
        <f t="shared" si="2"/>
        <v/>
      </c>
      <c r="AD40" s="23" t="str">
        <f>IF(AC40="","","   "&amp;INDEX(Results!$W$6:$W$18,MATCH(AC40,Results!$V$6:$V$18,1)))</f>
        <v/>
      </c>
    </row>
    <row r="41" spans="1:32" x14ac:dyDescent="0.2">
      <c r="A41" s="18">
        <f t="shared" ca="1" si="0"/>
        <v>36</v>
      </c>
      <c r="B41" s="38" t="str">
        <f>IF(Info!B41="Atlar şu ýeri","",Info!B41)</f>
        <v/>
      </c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20"/>
      <c r="AB41" s="21" t="str">
        <f t="shared" si="1"/>
        <v/>
      </c>
      <c r="AC41" s="22" t="str">
        <f t="shared" si="2"/>
        <v/>
      </c>
      <c r="AD41" s="23" t="str">
        <f>IF(AC41="","","   "&amp;INDEX(Results!$W$6:$W$18,MATCH(AC41,Results!$V$6:$V$18,1)))</f>
        <v/>
      </c>
    </row>
    <row r="42" spans="1:32" x14ac:dyDescent="0.2">
      <c r="A42" s="18">
        <f t="shared" ca="1" si="0"/>
        <v>37</v>
      </c>
      <c r="B42" s="38" t="str">
        <f>IF(Info!B42="Atlar şu ýeri","",Info!B42)</f>
        <v/>
      </c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20"/>
      <c r="AB42" s="21" t="str">
        <f t="shared" si="1"/>
        <v/>
      </c>
      <c r="AC42" s="22" t="str">
        <f t="shared" si="2"/>
        <v/>
      </c>
      <c r="AD42" s="23" t="str">
        <f>IF(AC42="","","   "&amp;INDEX(Results!$W$6:$W$18,MATCH(AC42,Results!$V$6:$V$18,1)))</f>
        <v/>
      </c>
    </row>
    <row r="43" spans="1:32" x14ac:dyDescent="0.2">
      <c r="A43" s="18">
        <f t="shared" ca="1" si="0"/>
        <v>38</v>
      </c>
      <c r="B43" s="38" t="str">
        <f>IF(Info!B43="Atlar şu ýeri","",Info!B43)</f>
        <v/>
      </c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20"/>
      <c r="AB43" s="21" t="str">
        <f t="shared" si="1"/>
        <v/>
      </c>
      <c r="AC43" s="22" t="str">
        <f t="shared" si="2"/>
        <v/>
      </c>
      <c r="AD43" s="23" t="str">
        <f>IF(AC43="","","   "&amp;INDEX(Results!$W$6:$W$18,MATCH(AC43,Results!$V$6:$V$18,1)))</f>
        <v/>
      </c>
    </row>
    <row r="44" spans="1:32" x14ac:dyDescent="0.2">
      <c r="A44" s="18">
        <f t="shared" ca="1" si="0"/>
        <v>39</v>
      </c>
      <c r="B44" s="38" t="str">
        <f>IF(Info!B44="Atlar şu ýeri","",Info!B44)</f>
        <v/>
      </c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20"/>
      <c r="AB44" s="21" t="str">
        <f t="shared" si="1"/>
        <v/>
      </c>
      <c r="AC44" s="22" t="str">
        <f t="shared" si="2"/>
        <v/>
      </c>
      <c r="AD44" s="23" t="str">
        <f>IF(AC44="","","   "&amp;INDEX(Results!$W$6:$W$18,MATCH(AC44,Results!$V$6:$V$18,1)))</f>
        <v/>
      </c>
    </row>
    <row r="45" spans="1:32" x14ac:dyDescent="0.2">
      <c r="A45" s="18">
        <f t="shared" ca="1" si="0"/>
        <v>40</v>
      </c>
      <c r="B45" s="38" t="str">
        <f>IF(Info!B45="Atlar şu ýeri","",Info!B45)</f>
        <v/>
      </c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20"/>
      <c r="AB45" s="21" t="str">
        <f t="shared" si="1"/>
        <v/>
      </c>
      <c r="AC45" s="22" t="str">
        <f t="shared" si="2"/>
        <v/>
      </c>
      <c r="AD45" s="23" t="str">
        <f>IF(AC45="","","   "&amp;INDEX(Results!$W$6:$W$18,MATCH(AC45,Results!$V$6:$V$18,1)))</f>
        <v/>
      </c>
    </row>
    <row r="46" spans="1:32" x14ac:dyDescent="0.2">
      <c r="A46" s="24" t="s">
        <v>0</v>
      </c>
      <c r="B46" s="25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96">
        <v>1</v>
      </c>
      <c r="AA46" s="27"/>
      <c r="AB46" s="28"/>
      <c r="AC46" s="29"/>
      <c r="AD46" s="30"/>
    </row>
    <row r="47" spans="1:32" x14ac:dyDescent="0.2">
      <c r="A47" s="2"/>
      <c r="B47" s="31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AA47" s="27"/>
      <c r="AB47" s="33" t="s">
        <v>155</v>
      </c>
      <c r="AC47" s="34" t="e">
        <f>AVERAGE(AC6:AC46)</f>
        <v>#DIV/0!</v>
      </c>
      <c r="AD47" s="35" t="e">
        <f>IF(AC47="","",INDEX(Results!$W$6:$W$18,MATCH(AC47,Results!$V$6:$V$18,1)))</f>
        <v>#DIV/0!</v>
      </c>
      <c r="AF47" s="36"/>
    </row>
    <row r="48" spans="1:32" x14ac:dyDescent="0.2">
      <c r="A48" s="2"/>
      <c r="B48" s="31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27"/>
      <c r="AB48" s="90"/>
      <c r="AC48" s="91"/>
      <c r="AD48" s="92"/>
      <c r="AF48" s="36"/>
    </row>
    <row r="49" spans="1:30" x14ac:dyDescent="0.2">
      <c r="A49" s="2"/>
      <c r="B49" s="37"/>
      <c r="C49" s="32"/>
      <c r="D49" s="32"/>
      <c r="E49" s="32"/>
      <c r="F49" s="32"/>
      <c r="G49" s="32"/>
      <c r="H49" s="32"/>
      <c r="I49" s="93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27"/>
      <c r="AB49" s="2"/>
      <c r="AC49" s="2"/>
      <c r="AD49" s="2"/>
    </row>
  </sheetData>
  <mergeCells count="4">
    <mergeCell ref="AB3:AB4"/>
    <mergeCell ref="AC3:AC4"/>
    <mergeCell ref="AD3:AD4"/>
    <mergeCell ref="C1:T1"/>
  </mergeCell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/>
  <headerFooter alignWithMargins="0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r:id="rId4">
            <anchor moveWithCells="1">
              <from>
                <xdr:col>30</xdr:col>
                <xdr:colOff>200025</xdr:colOff>
                <xdr:row>1</xdr:row>
                <xdr:rowOff>57150</xdr:rowOff>
              </from>
              <to>
                <xdr:col>31</xdr:col>
                <xdr:colOff>1000125</xdr:colOff>
                <xdr:row>3</xdr:row>
                <xdr:rowOff>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43"/>
  <sheetViews>
    <sheetView workbookViewId="0">
      <selection sqref="A1:AL43"/>
    </sheetView>
  </sheetViews>
  <sheetFormatPr defaultRowHeight="12.75" x14ac:dyDescent="0.2"/>
  <cols>
    <col min="1" max="1" width="3.7109375" style="1" customWidth="1"/>
    <col min="2" max="2" width="38" style="1" bestFit="1" customWidth="1"/>
    <col min="3" max="16" width="7.140625" style="1" customWidth="1"/>
    <col min="17" max="17" width="1.42578125" style="1" customWidth="1"/>
    <col min="18" max="19" width="7.5703125" style="1" customWidth="1"/>
    <col min="20" max="20" width="6.85546875" style="1" customWidth="1"/>
    <col min="21" max="21" width="5.28515625" style="1" customWidth="1"/>
    <col min="22" max="22" width="16.7109375" style="1" customWidth="1"/>
    <col min="23" max="16384" width="9.140625" style="1"/>
  </cols>
  <sheetData>
    <row r="1" spans="1:30" ht="19.5" x14ac:dyDescent="0.3">
      <c r="A1" s="2"/>
      <c r="B1" s="3" t="s">
        <v>56</v>
      </c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87"/>
      <c r="V1" s="87"/>
      <c r="W1" s="4"/>
      <c r="X1" s="4"/>
      <c r="Y1" s="4"/>
      <c r="Z1" s="4"/>
      <c r="AA1" s="4"/>
      <c r="AB1" s="4"/>
      <c r="AC1" s="6"/>
      <c r="AD1" s="6"/>
    </row>
    <row r="2" spans="1:30" ht="15" x14ac:dyDescent="0.25">
      <c r="A2" s="2"/>
      <c r="B2" s="7" t="s">
        <v>9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10"/>
    </row>
    <row r="3" spans="1:30" ht="42" customHeight="1" x14ac:dyDescent="0.25">
      <c r="A3" s="11"/>
      <c r="B3" s="12" t="s">
        <v>14</v>
      </c>
      <c r="C3" s="13" t="s">
        <v>15</v>
      </c>
      <c r="D3" s="13" t="s">
        <v>16</v>
      </c>
      <c r="E3" s="13" t="s">
        <v>17</v>
      </c>
      <c r="F3" s="13" t="s">
        <v>18</v>
      </c>
      <c r="G3" s="13" t="s">
        <v>19</v>
      </c>
      <c r="H3" s="13" t="s">
        <v>20</v>
      </c>
      <c r="I3" s="13" t="s">
        <v>21</v>
      </c>
      <c r="J3" s="13" t="s">
        <v>22</v>
      </c>
      <c r="K3" s="13" t="s">
        <v>23</v>
      </c>
      <c r="L3" s="13" t="s">
        <v>24</v>
      </c>
      <c r="M3" s="13" t="s">
        <v>25</v>
      </c>
      <c r="N3" s="13" t="s">
        <v>26</v>
      </c>
      <c r="O3" s="13" t="s">
        <v>27</v>
      </c>
      <c r="P3" s="13" t="s">
        <v>28</v>
      </c>
      <c r="Q3" s="13" t="s">
        <v>46</v>
      </c>
      <c r="R3" s="13" t="s">
        <v>47</v>
      </c>
      <c r="S3" s="13" t="s">
        <v>48</v>
      </c>
      <c r="T3" s="13" t="s">
        <v>49</v>
      </c>
      <c r="U3" s="13" t="s">
        <v>50</v>
      </c>
      <c r="V3" s="13" t="s">
        <v>51</v>
      </c>
      <c r="W3" s="13" t="s">
        <v>52</v>
      </c>
      <c r="X3" s="13" t="s">
        <v>53</v>
      </c>
      <c r="Y3" s="13" t="s">
        <v>54</v>
      </c>
      <c r="Z3" s="13" t="s">
        <v>55</v>
      </c>
      <c r="AA3" s="14"/>
      <c r="AB3" s="97" t="s">
        <v>29</v>
      </c>
      <c r="AC3" s="98" t="s">
        <v>36</v>
      </c>
      <c r="AD3" s="99" t="s">
        <v>35</v>
      </c>
    </row>
    <row r="4" spans="1:30" x14ac:dyDescent="0.2">
      <c r="A4" s="11"/>
      <c r="B4" s="15" t="s">
        <v>30</v>
      </c>
      <c r="C4" s="16">
        <v>5</v>
      </c>
      <c r="D4" s="16">
        <v>5</v>
      </c>
      <c r="E4" s="16">
        <v>5</v>
      </c>
      <c r="F4" s="16">
        <v>5</v>
      </c>
      <c r="G4" s="16">
        <v>5</v>
      </c>
      <c r="H4" s="16">
        <v>5</v>
      </c>
      <c r="I4" s="16">
        <v>5</v>
      </c>
      <c r="J4" s="16">
        <v>5</v>
      </c>
      <c r="K4" s="16">
        <v>5</v>
      </c>
      <c r="L4" s="16">
        <v>5</v>
      </c>
      <c r="M4" s="16">
        <v>5</v>
      </c>
      <c r="N4" s="16">
        <v>5</v>
      </c>
      <c r="O4" s="16">
        <v>5</v>
      </c>
      <c r="P4" s="16">
        <v>5</v>
      </c>
      <c r="Q4" s="16">
        <v>5</v>
      </c>
      <c r="R4" s="16">
        <v>5</v>
      </c>
      <c r="S4" s="16">
        <v>5</v>
      </c>
      <c r="T4" s="16">
        <v>5</v>
      </c>
      <c r="U4" s="16">
        <v>5</v>
      </c>
      <c r="V4" s="16">
        <v>5</v>
      </c>
      <c r="W4" s="16">
        <v>5</v>
      </c>
      <c r="X4" s="16">
        <v>5</v>
      </c>
      <c r="Y4" s="16">
        <v>5</v>
      </c>
      <c r="Z4" s="16">
        <v>5</v>
      </c>
      <c r="AA4" s="17"/>
      <c r="AB4" s="97"/>
      <c r="AC4" s="97"/>
      <c r="AD4" s="97"/>
    </row>
    <row r="5" spans="1:30" ht="6" customHeight="1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18">
        <f t="shared" ref="A6:A43" ca="1" si="0">OFFSET(A6,-1,0,1,1)+1</f>
        <v>1</v>
      </c>
      <c r="B6" s="38" t="str">
        <f>IF(Info!B6="Atlar şu ýeri","",Info!B6)</f>
        <v>Abdullaýewa Dinara</v>
      </c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20"/>
      <c r="AB6" s="21" t="str">
        <f t="shared" ref="AB6:AB33" si="1">IF(SUM(C6:Z6)=0,"",SUMPRODUCT(C6:Z6))</f>
        <v/>
      </c>
      <c r="AC6" s="22" t="str">
        <f t="shared" ref="AC6:AC33" si="2">IF(SUM(C6:Z6)=0,"",AB6/(SUMIF(C6:Z6,"&lt;&gt;",$C$4:$Z$4)-SUMIF(C6:Z6,"=E",$C$4:$Z$4)))</f>
        <v/>
      </c>
      <c r="AD6" s="23" t="str">
        <f>IF(AC6="","","   "&amp;INDEX(Results!$W$6:$W$18,MATCH(AC6,Results!$V$6:$V$18,1)))</f>
        <v/>
      </c>
    </row>
    <row r="7" spans="1:30" x14ac:dyDescent="0.2">
      <c r="A7" s="18">
        <f t="shared" ca="1" si="0"/>
        <v>2</v>
      </c>
      <c r="B7" s="38" t="str">
        <f>IF(Info!B7="Atlar şu ýeri","",Info!B7)</f>
        <v>Arslanow Yhlas</v>
      </c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20"/>
      <c r="AB7" s="21" t="str">
        <f t="shared" si="1"/>
        <v/>
      </c>
      <c r="AC7" s="22" t="str">
        <f t="shared" si="2"/>
        <v/>
      </c>
      <c r="AD7" s="23" t="str">
        <f>IF(AC7="","","   "&amp;INDEX(Results!$W$6:$W$18,MATCH(AC7,Results!$V$6:$V$18,1)))</f>
        <v/>
      </c>
    </row>
    <row r="8" spans="1:30" x14ac:dyDescent="0.2">
      <c r="A8" s="18">
        <f t="shared" ca="1" si="0"/>
        <v>3</v>
      </c>
      <c r="B8" s="38" t="str">
        <f>IF(Info!B8="Atlar şu ýeri","",Info!B8)</f>
        <v>Aşyrowa Maýsa</v>
      </c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20"/>
      <c r="AB8" s="21" t="str">
        <f t="shared" si="1"/>
        <v/>
      </c>
      <c r="AC8" s="22" t="str">
        <f t="shared" si="2"/>
        <v/>
      </c>
      <c r="AD8" s="23" t="str">
        <f>IF(AC8="","","   "&amp;INDEX(Results!$W$6:$W$18,MATCH(AC8,Results!$V$6:$V$18,1)))</f>
        <v/>
      </c>
    </row>
    <row r="9" spans="1:30" x14ac:dyDescent="0.2">
      <c r="A9" s="18">
        <f t="shared" ca="1" si="0"/>
        <v>4</v>
      </c>
      <c r="B9" s="38" t="str">
        <f>IF(Info!B9="Atlar şu ýeri","",Info!B9)</f>
        <v>Atabaýewa Ogulaý</v>
      </c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20"/>
      <c r="AB9" s="21" t="str">
        <f t="shared" si="1"/>
        <v/>
      </c>
      <c r="AC9" s="22" t="str">
        <f t="shared" si="2"/>
        <v/>
      </c>
      <c r="AD9" s="23" t="str">
        <f>IF(AC9="","","   "&amp;INDEX(Results!$W$6:$W$18,MATCH(AC9,Results!$V$6:$V$18,1)))</f>
        <v/>
      </c>
    </row>
    <row r="10" spans="1:30" x14ac:dyDescent="0.2">
      <c r="A10" s="18">
        <f t="shared" ca="1" si="0"/>
        <v>5</v>
      </c>
      <c r="B10" s="38" t="str">
        <f>IF(Info!B10="Atlar şu ýeri","",Info!B10)</f>
        <v>Atanazarow Meýlis</v>
      </c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20"/>
      <c r="AB10" s="21" t="str">
        <f t="shared" si="1"/>
        <v/>
      </c>
      <c r="AC10" s="22" t="str">
        <f t="shared" si="2"/>
        <v/>
      </c>
      <c r="AD10" s="23" t="str">
        <f>IF(AC10="","","   "&amp;INDEX(Results!$W$6:$W$18,MATCH(AC10,Results!$V$6:$V$18,1)))</f>
        <v/>
      </c>
    </row>
    <row r="11" spans="1:30" x14ac:dyDescent="0.2">
      <c r="A11" s="18">
        <f t="shared" ca="1" si="0"/>
        <v>6</v>
      </c>
      <c r="B11" s="38" t="str">
        <f>IF(Info!B11="Atlar şu ýeri","",Info!B11)</f>
        <v>Babajanowa Aýlar</v>
      </c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20"/>
      <c r="AB11" s="21" t="str">
        <f t="shared" si="1"/>
        <v/>
      </c>
      <c r="AC11" s="22" t="str">
        <f t="shared" si="2"/>
        <v/>
      </c>
      <c r="AD11" s="23" t="str">
        <f>IF(AC11="","","   "&amp;INDEX(Results!$W$6:$W$18,MATCH(AC11,Results!$V$6:$V$18,1)))</f>
        <v/>
      </c>
    </row>
    <row r="12" spans="1:30" x14ac:dyDescent="0.2">
      <c r="A12" s="18">
        <f t="shared" ca="1" si="0"/>
        <v>7</v>
      </c>
      <c r="B12" s="38" t="str">
        <f>IF(Info!B12="Atlar şu ýeri","",Info!B12)</f>
        <v>Babajanowa Selbi</v>
      </c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20"/>
      <c r="AB12" s="21" t="str">
        <f t="shared" si="1"/>
        <v/>
      </c>
      <c r="AC12" s="22" t="str">
        <f t="shared" si="2"/>
        <v/>
      </c>
      <c r="AD12" s="23" t="str">
        <f>IF(AC12="","","   "&amp;INDEX(Results!$W$6:$W$18,MATCH(AC12,Results!$V$6:$V$18,1)))</f>
        <v/>
      </c>
    </row>
    <row r="13" spans="1:30" x14ac:dyDescent="0.2">
      <c r="A13" s="18">
        <f t="shared" ca="1" si="0"/>
        <v>8</v>
      </c>
      <c r="B13" s="38" t="str">
        <f>IF(Info!B13="Atlar şu ýeri","",Info!B13)</f>
        <v>Ataýew Nurgeldi</v>
      </c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20"/>
      <c r="AB13" s="21" t="str">
        <f t="shared" si="1"/>
        <v/>
      </c>
      <c r="AC13" s="22" t="str">
        <f t="shared" si="2"/>
        <v/>
      </c>
      <c r="AD13" s="23" t="str">
        <f>IF(AC13="","","   "&amp;INDEX(Results!$W$6:$W$18,MATCH(AC13,Results!$V$6:$V$18,1)))</f>
        <v/>
      </c>
    </row>
    <row r="14" spans="1:30" x14ac:dyDescent="0.2">
      <c r="A14" s="18">
        <f t="shared" ca="1" si="0"/>
        <v>9</v>
      </c>
      <c r="B14" s="38" t="str">
        <f>IF(Info!B14="Atlar şu ýeri","",Info!B14)</f>
        <v>Batyrow Arafat</v>
      </c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20"/>
      <c r="AB14" s="21" t="str">
        <f t="shared" si="1"/>
        <v/>
      </c>
      <c r="AC14" s="22" t="str">
        <f t="shared" si="2"/>
        <v/>
      </c>
      <c r="AD14" s="23" t="str">
        <f>IF(AC14="","","   "&amp;INDEX(Results!$W$6:$W$18,MATCH(AC14,Results!$V$6:$V$18,1)))</f>
        <v/>
      </c>
    </row>
    <row r="15" spans="1:30" x14ac:dyDescent="0.2">
      <c r="A15" s="18">
        <f t="shared" ca="1" si="0"/>
        <v>10</v>
      </c>
      <c r="B15" s="38" t="str">
        <f>IF(Info!B15="Atlar şu ýeri","",Info!B15)</f>
        <v>Çaryýew Kemal</v>
      </c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20"/>
      <c r="AB15" s="21" t="str">
        <f t="shared" si="1"/>
        <v/>
      </c>
      <c r="AC15" s="22" t="str">
        <f t="shared" si="2"/>
        <v/>
      </c>
      <c r="AD15" s="23" t="str">
        <f>IF(AC15="","","   "&amp;INDEX(Results!$W$6:$W$18,MATCH(AC15,Results!$V$6:$V$18,1)))</f>
        <v/>
      </c>
    </row>
    <row r="16" spans="1:30" x14ac:dyDescent="0.2">
      <c r="A16" s="18">
        <f t="shared" ca="1" si="0"/>
        <v>11</v>
      </c>
      <c r="B16" s="38" t="str">
        <f>IF(Info!B16="Atlar şu ýeri","",Info!B16)</f>
        <v>Gurbanow Mekanmyrat</v>
      </c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20"/>
      <c r="AB16" s="21" t="str">
        <f t="shared" si="1"/>
        <v/>
      </c>
      <c r="AC16" s="22" t="str">
        <f t="shared" si="2"/>
        <v/>
      </c>
      <c r="AD16" s="23" t="str">
        <f>IF(AC16="","","   "&amp;INDEX(Results!$W$6:$W$18,MATCH(AC16,Results!$V$6:$V$18,1)))</f>
        <v/>
      </c>
    </row>
    <row r="17" spans="1:30" x14ac:dyDescent="0.2">
      <c r="A17" s="18">
        <f t="shared" ca="1" si="0"/>
        <v>12</v>
      </c>
      <c r="B17" s="38" t="str">
        <f>IF(Info!B17="Atlar şu ýeri","",Info!B17)</f>
        <v>Hojamuhammedow Guwanç</v>
      </c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20"/>
      <c r="AB17" s="21" t="str">
        <f t="shared" si="1"/>
        <v/>
      </c>
      <c r="AC17" s="22" t="str">
        <f t="shared" si="2"/>
        <v/>
      </c>
      <c r="AD17" s="23" t="str">
        <f>IF(AC17="","","   "&amp;INDEX(Results!$W$6:$W$18,MATCH(AC17,Results!$V$6:$V$18,1)))</f>
        <v/>
      </c>
    </row>
    <row r="18" spans="1:30" x14ac:dyDescent="0.2">
      <c r="A18" s="18">
        <f t="shared" ca="1" si="0"/>
        <v>13</v>
      </c>
      <c r="B18" s="38" t="str">
        <f>IF(Info!B18="Atlar şu ýeri","",Info!B18)</f>
        <v xml:space="preserve">Hojamämmedow  </v>
      </c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20"/>
      <c r="AB18" s="21" t="str">
        <f t="shared" si="1"/>
        <v/>
      </c>
      <c r="AC18" s="22" t="str">
        <f t="shared" si="2"/>
        <v/>
      </c>
      <c r="AD18" s="23" t="str">
        <f>IF(AC18="","","   "&amp;INDEX(Results!$W$6:$W$18,MATCH(AC18,Results!$V$6:$V$18,1)))</f>
        <v/>
      </c>
    </row>
    <row r="19" spans="1:30" x14ac:dyDescent="0.2">
      <c r="A19" s="18">
        <f t="shared" ca="1" si="0"/>
        <v>14</v>
      </c>
      <c r="B19" s="38" t="str">
        <f>IF(Info!B19="Atlar şu ýeri","",Info!B19)</f>
        <v>Hanowa Gülälek</v>
      </c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20"/>
      <c r="AB19" s="21" t="str">
        <f t="shared" si="1"/>
        <v/>
      </c>
      <c r="AC19" s="22" t="str">
        <f t="shared" si="2"/>
        <v/>
      </c>
      <c r="AD19" s="23" t="str">
        <f>IF(AC19="","","   "&amp;INDEX(Results!$W$6:$W$18,MATCH(AC19,Results!$V$6:$V$18,1)))</f>
        <v/>
      </c>
    </row>
    <row r="20" spans="1:30" x14ac:dyDescent="0.2">
      <c r="A20" s="18">
        <f t="shared" ca="1" si="0"/>
        <v>15</v>
      </c>
      <c r="B20" s="38" t="str">
        <f>IF(Info!B20="Atlar şu ýeri","",Info!B20)</f>
        <v>Husainow Serdar</v>
      </c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20"/>
      <c r="AB20" s="21" t="str">
        <f t="shared" si="1"/>
        <v/>
      </c>
      <c r="AC20" s="22" t="str">
        <f t="shared" si="2"/>
        <v/>
      </c>
      <c r="AD20" s="23" t="str">
        <f>IF(AC20="","","   "&amp;INDEX(Results!$W$6:$W$18,MATCH(AC20,Results!$V$6:$V$18,1)))</f>
        <v/>
      </c>
    </row>
    <row r="21" spans="1:30" x14ac:dyDescent="0.2">
      <c r="A21" s="18">
        <f t="shared" ca="1" si="0"/>
        <v>16</v>
      </c>
      <c r="B21" s="38" t="str">
        <f>IF(Info!B21="Atlar şu ýeri","",Info!B21)</f>
        <v>Orunowa Täçbibi</v>
      </c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20"/>
      <c r="AB21" s="21" t="str">
        <f t="shared" si="1"/>
        <v/>
      </c>
      <c r="AC21" s="22" t="str">
        <f t="shared" si="2"/>
        <v/>
      </c>
      <c r="AD21" s="23" t="str">
        <f>IF(AC21="","","   "&amp;INDEX(Results!$W$6:$W$18,MATCH(AC21,Results!$V$6:$V$18,1)))</f>
        <v/>
      </c>
    </row>
    <row r="22" spans="1:30" x14ac:dyDescent="0.2">
      <c r="A22" s="18">
        <f t="shared" ca="1" si="0"/>
        <v>17</v>
      </c>
      <c r="B22" s="38" t="str">
        <f>IF(Info!B22="Atlar şu ýeri","",Info!B22)</f>
        <v>Ilýasow Älem</v>
      </c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20"/>
      <c r="AB22" s="21" t="str">
        <f t="shared" si="1"/>
        <v/>
      </c>
      <c r="AC22" s="22" t="str">
        <f t="shared" si="2"/>
        <v/>
      </c>
      <c r="AD22" s="23" t="str">
        <f>IF(AC22="","","   "&amp;INDEX(Results!$W$6:$W$18,MATCH(AC22,Results!$V$6:$V$18,1)))</f>
        <v/>
      </c>
    </row>
    <row r="23" spans="1:30" x14ac:dyDescent="0.2">
      <c r="A23" s="18">
        <f t="shared" ca="1" si="0"/>
        <v>18</v>
      </c>
      <c r="B23" s="38" t="str">
        <f>IF(Info!B23="Atlar şu ýeri","",Info!B23)</f>
        <v>Karabaýew Begli</v>
      </c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20"/>
      <c r="AB23" s="21" t="str">
        <f t="shared" si="1"/>
        <v/>
      </c>
      <c r="AC23" s="22" t="str">
        <f t="shared" si="2"/>
        <v/>
      </c>
      <c r="AD23" s="23" t="str">
        <f>IF(AC23="","","   "&amp;INDEX(Results!$W$6:$W$18,MATCH(AC23,Results!$V$6:$V$18,1)))</f>
        <v/>
      </c>
    </row>
    <row r="24" spans="1:30" x14ac:dyDescent="0.2">
      <c r="A24" s="18">
        <f t="shared" ca="1" si="0"/>
        <v>19</v>
      </c>
      <c r="B24" s="38" t="str">
        <f>IF(Info!B24="Atlar şu ýeri","",Info!B24)</f>
        <v>Kurbanow Wekil</v>
      </c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20"/>
      <c r="AB24" s="21" t="str">
        <f t="shared" si="1"/>
        <v/>
      </c>
      <c r="AC24" s="22" t="str">
        <f t="shared" si="2"/>
        <v/>
      </c>
      <c r="AD24" s="23" t="str">
        <f>IF(AC24="","","   "&amp;INDEX(Results!$W$6:$W$18,MATCH(AC24,Results!$V$6:$V$18,1)))</f>
        <v/>
      </c>
    </row>
    <row r="25" spans="1:30" x14ac:dyDescent="0.2">
      <c r="A25" s="18">
        <f t="shared" ca="1" si="0"/>
        <v>20</v>
      </c>
      <c r="B25" s="38" t="str">
        <f>IF(Info!B25="Atlar şu ýeri","",Info!B25)</f>
        <v>Madraimow Seidjan</v>
      </c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20"/>
      <c r="AB25" s="21" t="str">
        <f t="shared" si="1"/>
        <v/>
      </c>
      <c r="AC25" s="22" t="str">
        <f t="shared" si="2"/>
        <v/>
      </c>
      <c r="AD25" s="23" t="str">
        <f>IF(AC25="","","   "&amp;INDEX(Results!$W$6:$W$18,MATCH(AC25,Results!$V$6:$V$18,1)))</f>
        <v/>
      </c>
    </row>
    <row r="26" spans="1:30" x14ac:dyDescent="0.2">
      <c r="A26" s="18">
        <f t="shared" ca="1" si="0"/>
        <v>21</v>
      </c>
      <c r="B26" s="38" t="str">
        <f>IF(Info!B26="Atlar şu ýeri","",Info!B26)</f>
        <v>Matmuradowa Gulnur</v>
      </c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20"/>
      <c r="AB26" s="21" t="str">
        <f t="shared" si="1"/>
        <v/>
      </c>
      <c r="AC26" s="22" t="str">
        <f t="shared" si="2"/>
        <v/>
      </c>
      <c r="AD26" s="23" t="str">
        <f>IF(AC26="","","   "&amp;INDEX(Results!$W$6:$W$18,MATCH(AC26,Results!$V$6:$V$18,1)))</f>
        <v/>
      </c>
    </row>
    <row r="27" spans="1:30" x14ac:dyDescent="0.2">
      <c r="A27" s="18">
        <f t="shared" ca="1" si="0"/>
        <v>22</v>
      </c>
      <c r="B27" s="38" t="str">
        <f>IF(Info!B27="Atlar şu ýeri","",Info!B27)</f>
        <v>Myradowa Aýjahan</v>
      </c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20"/>
      <c r="AB27" s="21" t="str">
        <f t="shared" si="1"/>
        <v/>
      </c>
      <c r="AC27" s="22" t="str">
        <f t="shared" si="2"/>
        <v/>
      </c>
      <c r="AD27" s="23" t="str">
        <f>IF(AC27="","","   "&amp;INDEX(Results!$W$6:$W$18,MATCH(AC27,Results!$V$6:$V$18,1)))</f>
        <v/>
      </c>
    </row>
    <row r="28" spans="1:30" x14ac:dyDescent="0.2">
      <c r="A28" s="18">
        <f t="shared" ca="1" si="0"/>
        <v>23</v>
      </c>
      <c r="B28" s="38" t="str">
        <f>IF(Info!B28="Atlar şu ýeri","",Info!B28)</f>
        <v>Osmanowa Ýyldyz</v>
      </c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20"/>
      <c r="AB28" s="21" t="str">
        <f t="shared" si="1"/>
        <v/>
      </c>
      <c r="AC28" s="22" t="str">
        <f t="shared" si="2"/>
        <v/>
      </c>
      <c r="AD28" s="23" t="str">
        <f>IF(AC28="","","   "&amp;INDEX(Results!$W$6:$W$18,MATCH(AC28,Results!$V$6:$V$18,1)))</f>
        <v/>
      </c>
    </row>
    <row r="29" spans="1:30" x14ac:dyDescent="0.2">
      <c r="A29" s="18">
        <f t="shared" ca="1" si="0"/>
        <v>24</v>
      </c>
      <c r="B29" s="38" t="str">
        <f>IF(Info!B29="Atlar şu ýeri","",Info!B29)</f>
        <v>Orazowa Aýnur</v>
      </c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20"/>
      <c r="AB29" s="21" t="str">
        <f t="shared" si="1"/>
        <v/>
      </c>
      <c r="AC29" s="22" t="str">
        <f t="shared" si="2"/>
        <v/>
      </c>
      <c r="AD29" s="23" t="str">
        <f>IF(AC29="","","   "&amp;INDEX(Results!$W$6:$W$18,MATCH(AC29,Results!$V$6:$V$18,1)))</f>
        <v/>
      </c>
    </row>
    <row r="30" spans="1:30" x14ac:dyDescent="0.2">
      <c r="A30" s="18">
        <f t="shared" ca="1" si="0"/>
        <v>25</v>
      </c>
      <c r="B30" s="38" t="str">
        <f>IF(Info!B30="Atlar şu ýeri","",Info!B30)</f>
        <v>Orunowa Aýjemal</v>
      </c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20"/>
      <c r="AB30" s="21" t="str">
        <f t="shared" si="1"/>
        <v/>
      </c>
      <c r="AC30" s="22" t="str">
        <f t="shared" si="2"/>
        <v/>
      </c>
      <c r="AD30" s="23" t="str">
        <f>IF(AC30="","","   "&amp;INDEX(Results!$W$6:$W$18,MATCH(AC30,Results!$V$6:$V$18,1)))</f>
        <v/>
      </c>
    </row>
    <row r="31" spans="1:30" x14ac:dyDescent="0.2">
      <c r="A31" s="18">
        <f t="shared" ca="1" si="0"/>
        <v>26</v>
      </c>
      <c r="B31" s="38" t="str">
        <f>IF(Info!B31="Atlar şu ýeri","",Info!B31)</f>
        <v>Öwezow Döwlet</v>
      </c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20"/>
      <c r="AB31" s="21" t="str">
        <f t="shared" si="1"/>
        <v/>
      </c>
      <c r="AC31" s="22" t="str">
        <f t="shared" si="2"/>
        <v/>
      </c>
      <c r="AD31" s="23" t="str">
        <f>IF(AC31="","","   "&amp;INDEX(Results!$W$6:$W$18,MATCH(AC31,Results!$V$6:$V$18,1)))</f>
        <v/>
      </c>
    </row>
    <row r="32" spans="1:30" x14ac:dyDescent="0.2">
      <c r="A32" s="18">
        <f t="shared" ca="1" si="0"/>
        <v>27</v>
      </c>
      <c r="B32" s="38" t="str">
        <f>IF(Info!B32="Atlar şu ýeri","",Info!B32)</f>
        <v>Piriýew Aýhan</v>
      </c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20"/>
      <c r="AB32" s="21" t="str">
        <f t="shared" si="1"/>
        <v/>
      </c>
      <c r="AC32" s="22" t="str">
        <f t="shared" si="2"/>
        <v/>
      </c>
      <c r="AD32" s="23" t="str">
        <f>IF(AC32="","","   "&amp;INDEX(Results!$W$6:$W$18,MATCH(AC32,Results!$V$6:$V$18,1)))</f>
        <v/>
      </c>
    </row>
    <row r="33" spans="1:30" x14ac:dyDescent="0.2">
      <c r="A33" s="18">
        <f t="shared" ca="1" si="0"/>
        <v>28</v>
      </c>
      <c r="B33" s="38" t="str">
        <f>IF(Info!B33="Atlar şu ýeri","",Info!B33)</f>
        <v>Taganow Sanjar</v>
      </c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20"/>
      <c r="AB33" s="21" t="str">
        <f t="shared" si="1"/>
        <v/>
      </c>
      <c r="AC33" s="22" t="str">
        <f t="shared" si="2"/>
        <v/>
      </c>
      <c r="AD33" s="23" t="str">
        <f>IF(AC33="","","   "&amp;INDEX(Results!$W$6:$W$18,MATCH(AC33,Results!$V$6:$V$18,1)))</f>
        <v/>
      </c>
    </row>
    <row r="34" spans="1:30" x14ac:dyDescent="0.2">
      <c r="A34" s="18">
        <f t="shared" ca="1" si="0"/>
        <v>29</v>
      </c>
      <c r="B34" s="38" t="str">
        <f>IF(Info!B40="Atlar şu ýeri","",Info!B40)</f>
        <v/>
      </c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20"/>
      <c r="AB34" s="21"/>
      <c r="AC34" s="22"/>
      <c r="AD34" s="23"/>
    </row>
    <row r="35" spans="1:30" x14ac:dyDescent="0.2">
      <c r="A35" s="18">
        <f t="shared" ca="1" si="0"/>
        <v>30</v>
      </c>
      <c r="B35" s="38" t="str">
        <f>IF(Info!B35="Atlar şu ýeri","",Info!B35)</f>
        <v>Ýagşybaýew Muhammet</v>
      </c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20"/>
      <c r="AB35" s="21"/>
      <c r="AC35" s="22"/>
      <c r="AD35" s="23"/>
    </row>
    <row r="36" spans="1:30" ht="6.75" customHeight="1" x14ac:dyDescent="0.2">
      <c r="A36" s="18">
        <f t="shared" ca="1" si="0"/>
        <v>31</v>
      </c>
      <c r="B36" s="38" t="str">
        <f>IF(Info!B36="Atlar şu ýeri","",Info!B36)</f>
        <v>Ýazberdiýewa Söýli</v>
      </c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20"/>
      <c r="AB36" s="21"/>
      <c r="AC36" s="22"/>
      <c r="AD36" s="23"/>
    </row>
    <row r="37" spans="1:30" x14ac:dyDescent="0.2">
      <c r="A37" s="18">
        <f t="shared" ca="1" si="0"/>
        <v>32</v>
      </c>
      <c r="B37" s="38" t="str">
        <f>IF(Info!B37="Atlar şu ýeri","",Info!B37)</f>
        <v>Ýazyýewa Meňli</v>
      </c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20"/>
      <c r="AB37" s="21"/>
      <c r="AC37" s="22"/>
      <c r="AD37" s="23"/>
    </row>
    <row r="38" spans="1:30" x14ac:dyDescent="0.2">
      <c r="A38" s="18">
        <f t="shared" ca="1" si="0"/>
        <v>33</v>
      </c>
      <c r="B38" s="38" t="str">
        <f>IF(Info!B38="Atlar şu ýeri","",Info!B38)</f>
        <v>Ýunusow Ýunus</v>
      </c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20"/>
      <c r="AB38" s="21"/>
      <c r="AC38" s="22"/>
      <c r="AD38" s="23"/>
    </row>
    <row r="39" spans="1:30" x14ac:dyDescent="0.2">
      <c r="A39" s="18">
        <f t="shared" ca="1" si="0"/>
        <v>34</v>
      </c>
      <c r="B39" s="38" t="str">
        <f>IF(Info!B39="Atlar şu ýeri","",Info!B39)</f>
        <v>Ýusupowa  Jahan</v>
      </c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20"/>
      <c r="AB39" s="21"/>
      <c r="AC39" s="22"/>
      <c r="AD39" s="23"/>
    </row>
    <row r="40" spans="1:30" x14ac:dyDescent="0.2">
      <c r="A40" s="18">
        <f t="shared" ca="1" si="0"/>
        <v>35</v>
      </c>
      <c r="B40" s="38" t="str">
        <f>IF(Info!B40="Atlar şu ýeri","",Info!B40)</f>
        <v/>
      </c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20"/>
      <c r="AB40" s="21"/>
      <c r="AC40" s="22"/>
      <c r="AD40" s="23"/>
    </row>
    <row r="41" spans="1:30" x14ac:dyDescent="0.2">
      <c r="A41" s="18">
        <f t="shared" ca="1" si="0"/>
        <v>36</v>
      </c>
      <c r="B41" s="38" t="str">
        <f>IF(Info!B41="Atlar şu ýeri","",Info!B41)</f>
        <v/>
      </c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20"/>
      <c r="AB41" s="21"/>
      <c r="AC41" s="22"/>
      <c r="AD41" s="23"/>
    </row>
    <row r="42" spans="1:30" x14ac:dyDescent="0.2">
      <c r="A42" s="18">
        <f t="shared" ca="1" si="0"/>
        <v>37</v>
      </c>
      <c r="B42" s="38" t="str">
        <f>IF(Info!B42="Atlar şu ýeri","",Info!B42)</f>
        <v/>
      </c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20"/>
      <c r="AB42" s="21"/>
      <c r="AC42" s="22"/>
      <c r="AD42" s="23"/>
    </row>
    <row r="43" spans="1:30" x14ac:dyDescent="0.2">
      <c r="A43" s="18">
        <f t="shared" ca="1" si="0"/>
        <v>38</v>
      </c>
      <c r="B43" s="38" t="str">
        <f>IF(Info!B43="Atlar şu ýeri","",Info!B43)</f>
        <v/>
      </c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20"/>
      <c r="AB43" s="21"/>
      <c r="AC43" s="22"/>
      <c r="AD43" s="23"/>
    </row>
  </sheetData>
  <mergeCells count="4">
    <mergeCell ref="AB3:AB4"/>
    <mergeCell ref="AC3:AC4"/>
    <mergeCell ref="AD3:AD4"/>
    <mergeCell ref="C1:T1"/>
  </mergeCell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F49"/>
  <sheetViews>
    <sheetView workbookViewId="0">
      <selection activeCell="V26" sqref="V26"/>
    </sheetView>
  </sheetViews>
  <sheetFormatPr defaultRowHeight="12.75" x14ac:dyDescent="0.2"/>
  <cols>
    <col min="1" max="1" width="3.7109375" style="1" customWidth="1"/>
    <col min="2" max="2" width="37.42578125" style="1" bestFit="1" customWidth="1"/>
    <col min="3" max="3" width="9" style="1" bestFit="1" customWidth="1"/>
    <col min="4" max="16" width="9" style="1" customWidth="1"/>
    <col min="17" max="18" width="7.140625" style="1" customWidth="1"/>
    <col min="19" max="19" width="7.85546875" style="1" bestFit="1" customWidth="1"/>
    <col min="20" max="26" width="7.140625" style="1" customWidth="1"/>
    <col min="27" max="27" width="1.42578125" style="1" customWidth="1"/>
    <col min="28" max="28" width="7.5703125" style="1" customWidth="1"/>
    <col min="29" max="29" width="10.5703125" style="1" bestFit="1" customWidth="1"/>
    <col min="30" max="30" width="6.85546875" style="1" customWidth="1"/>
    <col min="31" max="31" width="5.28515625" style="1" customWidth="1"/>
    <col min="32" max="32" width="16.7109375" style="1" customWidth="1"/>
    <col min="33" max="16384" width="9.140625" style="1"/>
  </cols>
  <sheetData>
    <row r="1" spans="1:30" ht="19.5" x14ac:dyDescent="0.3">
      <c r="A1" s="2"/>
      <c r="B1" s="3" t="s">
        <v>153</v>
      </c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87"/>
      <c r="V1" s="87"/>
      <c r="W1" s="4"/>
      <c r="X1" s="4"/>
      <c r="Y1" s="4"/>
      <c r="Z1" s="4"/>
      <c r="AA1" s="4"/>
      <c r="AB1" s="4"/>
      <c r="AC1" s="6"/>
      <c r="AD1" s="6"/>
    </row>
    <row r="2" spans="1:30" ht="15" x14ac:dyDescent="0.25">
      <c r="A2" s="2"/>
      <c r="B2" s="7" t="s">
        <v>166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10"/>
    </row>
    <row r="3" spans="1:30" ht="42" customHeight="1" x14ac:dyDescent="0.25">
      <c r="A3" s="11"/>
      <c r="B3" s="12" t="s">
        <v>148</v>
      </c>
      <c r="C3" s="13" t="s">
        <v>124</v>
      </c>
      <c r="D3" s="13" t="s">
        <v>125</v>
      </c>
      <c r="E3" s="13" t="s">
        <v>126</v>
      </c>
      <c r="F3" s="13" t="s">
        <v>127</v>
      </c>
      <c r="G3" s="13" t="s">
        <v>128</v>
      </c>
      <c r="H3" s="13" t="s">
        <v>129</v>
      </c>
      <c r="I3" s="13" t="s">
        <v>130</v>
      </c>
      <c r="J3" s="13" t="s">
        <v>131</v>
      </c>
      <c r="K3" s="13" t="s">
        <v>132</v>
      </c>
      <c r="L3" s="13" t="s">
        <v>133</v>
      </c>
      <c r="M3" s="13" t="s">
        <v>134</v>
      </c>
      <c r="N3" s="13" t="s">
        <v>135</v>
      </c>
      <c r="O3" s="13" t="s">
        <v>136</v>
      </c>
      <c r="P3" s="13" t="s">
        <v>137</v>
      </c>
      <c r="Q3" s="13" t="s">
        <v>138</v>
      </c>
      <c r="R3" s="13" t="s">
        <v>139</v>
      </c>
      <c r="S3" s="13" t="s">
        <v>140</v>
      </c>
      <c r="T3" s="13" t="s">
        <v>141</v>
      </c>
      <c r="U3" s="13" t="s">
        <v>142</v>
      </c>
      <c r="V3" s="13" t="s">
        <v>143</v>
      </c>
      <c r="W3" s="13" t="s">
        <v>144</v>
      </c>
      <c r="X3" s="13" t="s">
        <v>145</v>
      </c>
      <c r="Y3" s="13" t="s">
        <v>146</v>
      </c>
      <c r="Z3" s="13" t="s">
        <v>147</v>
      </c>
      <c r="AA3" s="14"/>
      <c r="AB3" s="97" t="s">
        <v>156</v>
      </c>
      <c r="AC3" s="98" t="s">
        <v>157</v>
      </c>
      <c r="AD3" s="99" t="s">
        <v>158</v>
      </c>
    </row>
    <row r="4" spans="1:30" x14ac:dyDescent="0.2">
      <c r="A4" s="11"/>
      <c r="B4" s="15" t="s">
        <v>154</v>
      </c>
      <c r="C4" s="16">
        <v>5</v>
      </c>
      <c r="D4" s="16">
        <v>5</v>
      </c>
      <c r="E4" s="16">
        <v>5</v>
      </c>
      <c r="F4" s="16">
        <v>5</v>
      </c>
      <c r="G4" s="16">
        <v>5</v>
      </c>
      <c r="H4" s="16">
        <v>5</v>
      </c>
      <c r="I4" s="16">
        <v>5</v>
      </c>
      <c r="J4" s="16">
        <v>5</v>
      </c>
      <c r="K4" s="16">
        <v>5</v>
      </c>
      <c r="L4" s="16">
        <v>5</v>
      </c>
      <c r="M4" s="16">
        <v>5</v>
      </c>
      <c r="N4" s="16">
        <v>5</v>
      </c>
      <c r="O4" s="16">
        <v>5</v>
      </c>
      <c r="P4" s="16">
        <v>5</v>
      </c>
      <c r="Q4" s="16">
        <v>5</v>
      </c>
      <c r="R4" s="16">
        <v>5</v>
      </c>
      <c r="S4" s="16">
        <v>5</v>
      </c>
      <c r="T4" s="16">
        <v>5</v>
      </c>
      <c r="U4" s="16">
        <v>5</v>
      </c>
      <c r="V4" s="16">
        <v>5</v>
      </c>
      <c r="W4" s="16">
        <v>5</v>
      </c>
      <c r="X4" s="16">
        <v>5</v>
      </c>
      <c r="Y4" s="16">
        <v>5</v>
      </c>
      <c r="Z4" s="16">
        <v>5</v>
      </c>
      <c r="AA4" s="17"/>
      <c r="AB4" s="97"/>
      <c r="AC4" s="97"/>
      <c r="AD4" s="97"/>
    </row>
    <row r="5" spans="1:30" ht="6" customHeight="1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18">
        <f t="shared" ref="A6:A45" ca="1" si="0">OFFSET(A6,-1,0,1,1)+1</f>
        <v>1</v>
      </c>
      <c r="B6" s="38" t="str">
        <f>IF(Info!B6="Atlar şu ýeri","",Info!B6)</f>
        <v>Abdullaýewa Dinara</v>
      </c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20"/>
      <c r="AB6" s="21" t="str">
        <f>IF(SUM(C6:Z6)=0,"",SUMPRODUCT(C6:Z6))</f>
        <v/>
      </c>
      <c r="AC6" s="22" t="str">
        <f>IF(SUM(C6:Z6)=0,"",AB6/(SUMIF(C6:Z6,"&lt;&gt;",$C$4:$Z$4)-SUMIF(C6:Z6,"=E",$C$4:$Z$4)))</f>
        <v/>
      </c>
      <c r="AD6" s="23" t="str">
        <f>IF(AC6="","","   "&amp;INDEX(Results!$W$6:$W$18,MATCH(AC6,Results!$V$6:$V$18,1)))</f>
        <v/>
      </c>
    </row>
    <row r="7" spans="1:30" x14ac:dyDescent="0.2">
      <c r="A7" s="18">
        <f t="shared" ca="1" si="0"/>
        <v>2</v>
      </c>
      <c r="B7" s="38" t="str">
        <f>IF(Info!B7="Atlar şu ýeri","",Info!B7)</f>
        <v>Arslanow Yhlas</v>
      </c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20"/>
      <c r="AB7" s="21" t="str">
        <f t="shared" ref="AB7:AB45" si="1">IF(SUM(C7:Z7)=0,"",SUMPRODUCT(C7:Z7))</f>
        <v/>
      </c>
      <c r="AC7" s="22" t="str">
        <f t="shared" ref="AC7:AC45" si="2">IF(SUM(C7:Z7)=0,"",AB7/(SUMIF(C7:Z7,"&lt;&gt;",$C$4:$Z$4)-SUMIF(C7:Z7,"=E",$C$4:$Z$4)))</f>
        <v/>
      </c>
      <c r="AD7" s="23" t="str">
        <f>IF(AC7="","","   "&amp;INDEX(Results!$W$6:$W$18,MATCH(AC7,Results!$V$6:$V$18,1)))</f>
        <v/>
      </c>
    </row>
    <row r="8" spans="1:30" x14ac:dyDescent="0.2">
      <c r="A8" s="18">
        <f t="shared" ca="1" si="0"/>
        <v>3</v>
      </c>
      <c r="B8" s="38" t="str">
        <f>IF(Info!B8="Atlar şu ýeri","",Info!B8)</f>
        <v>Aşyrowa Maýsa</v>
      </c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20"/>
      <c r="AB8" s="21" t="str">
        <f t="shared" si="1"/>
        <v/>
      </c>
      <c r="AC8" s="22" t="str">
        <f t="shared" si="2"/>
        <v/>
      </c>
      <c r="AD8" s="23" t="str">
        <f>IF(AC8="","","   "&amp;INDEX(Results!$W$6:$W$18,MATCH(AC8,Results!$V$6:$V$18,1)))</f>
        <v/>
      </c>
    </row>
    <row r="9" spans="1:30" x14ac:dyDescent="0.2">
      <c r="A9" s="18">
        <f t="shared" ca="1" si="0"/>
        <v>4</v>
      </c>
      <c r="B9" s="38" t="str">
        <f>IF(Info!B9="Atlar şu ýeri","",Info!B9)</f>
        <v>Atabaýewa Ogulaý</v>
      </c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20"/>
      <c r="AB9" s="21" t="str">
        <f t="shared" si="1"/>
        <v/>
      </c>
      <c r="AC9" s="22" t="str">
        <f t="shared" si="2"/>
        <v/>
      </c>
      <c r="AD9" s="23" t="str">
        <f>IF(AC9="","","   "&amp;INDEX(Results!$W$6:$W$18,MATCH(AC9,Results!$V$6:$V$18,1)))</f>
        <v/>
      </c>
    </row>
    <row r="10" spans="1:30" x14ac:dyDescent="0.2">
      <c r="A10" s="18">
        <f t="shared" ca="1" si="0"/>
        <v>5</v>
      </c>
      <c r="B10" s="38" t="str">
        <f>IF(Info!B10="Atlar şu ýeri","",Info!B10)</f>
        <v>Atanazarow Meýlis</v>
      </c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20"/>
      <c r="AB10" s="21" t="str">
        <f t="shared" si="1"/>
        <v/>
      </c>
      <c r="AC10" s="22" t="str">
        <f t="shared" si="2"/>
        <v/>
      </c>
      <c r="AD10" s="23" t="str">
        <f>IF(AC10="","","   "&amp;INDEX(Results!$W$6:$W$18,MATCH(AC10,Results!$V$6:$V$18,1)))</f>
        <v/>
      </c>
    </row>
    <row r="11" spans="1:30" x14ac:dyDescent="0.2">
      <c r="A11" s="18">
        <f t="shared" ca="1" si="0"/>
        <v>6</v>
      </c>
      <c r="B11" s="38" t="str">
        <f>IF(Info!B11="Atlar şu ýeri","",Info!B11)</f>
        <v>Babajanowa Aýlar</v>
      </c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20"/>
      <c r="AB11" s="21" t="str">
        <f t="shared" si="1"/>
        <v/>
      </c>
      <c r="AC11" s="22" t="str">
        <f t="shared" si="2"/>
        <v/>
      </c>
      <c r="AD11" s="23" t="str">
        <f>IF(AC11="","","   "&amp;INDEX(Results!$W$6:$W$18,MATCH(AC11,Results!$V$6:$V$18,1)))</f>
        <v/>
      </c>
    </row>
    <row r="12" spans="1:30" x14ac:dyDescent="0.2">
      <c r="A12" s="18">
        <f t="shared" ca="1" si="0"/>
        <v>7</v>
      </c>
      <c r="B12" s="38" t="str">
        <f>IF(Info!B12="Atlar şu ýeri","",Info!B12)</f>
        <v>Babajanowa Selbi</v>
      </c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20"/>
      <c r="AB12" s="21" t="str">
        <f t="shared" si="1"/>
        <v/>
      </c>
      <c r="AC12" s="22" t="str">
        <f t="shared" si="2"/>
        <v/>
      </c>
      <c r="AD12" s="23" t="str">
        <f>IF(AC12="","","   "&amp;INDEX(Results!$W$6:$W$18,MATCH(AC12,Results!$V$6:$V$18,1)))</f>
        <v/>
      </c>
    </row>
    <row r="13" spans="1:30" x14ac:dyDescent="0.2">
      <c r="A13" s="18">
        <f t="shared" ca="1" si="0"/>
        <v>8</v>
      </c>
      <c r="B13" s="38" t="str">
        <f>IF(Info!B13="Atlar şu ýeri","",Info!B13)</f>
        <v>Ataýew Nurgeldi</v>
      </c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20"/>
      <c r="AB13" s="21" t="str">
        <f t="shared" si="1"/>
        <v/>
      </c>
      <c r="AC13" s="22" t="str">
        <f t="shared" si="2"/>
        <v/>
      </c>
      <c r="AD13" s="23" t="str">
        <f>IF(AC13="","","   "&amp;INDEX(Results!$W$6:$W$18,MATCH(AC13,Results!$V$6:$V$18,1)))</f>
        <v/>
      </c>
    </row>
    <row r="14" spans="1:30" x14ac:dyDescent="0.2">
      <c r="A14" s="18">
        <f t="shared" ca="1" si="0"/>
        <v>9</v>
      </c>
      <c r="B14" s="38" t="str">
        <f>IF(Info!B14="Atlar şu ýeri","",Info!B14)</f>
        <v>Batyrow Arafat</v>
      </c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20"/>
      <c r="AB14" s="21" t="str">
        <f t="shared" si="1"/>
        <v/>
      </c>
      <c r="AC14" s="22" t="str">
        <f t="shared" si="2"/>
        <v/>
      </c>
      <c r="AD14" s="23" t="str">
        <f>IF(AC14="","","   "&amp;INDEX(Results!$W$6:$W$18,MATCH(AC14,Results!$V$6:$V$18,1)))</f>
        <v/>
      </c>
    </row>
    <row r="15" spans="1:30" x14ac:dyDescent="0.2">
      <c r="A15" s="18">
        <f t="shared" ca="1" si="0"/>
        <v>10</v>
      </c>
      <c r="B15" s="38" t="str">
        <f>IF(Info!B15="Atlar şu ýeri","",Info!B15)</f>
        <v>Çaryýew Kemal</v>
      </c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20"/>
      <c r="AB15" s="21" t="str">
        <f t="shared" si="1"/>
        <v/>
      </c>
      <c r="AC15" s="22" t="str">
        <f t="shared" si="2"/>
        <v/>
      </c>
      <c r="AD15" s="23" t="str">
        <f>IF(AC15="","","   "&amp;INDEX(Results!$W$6:$W$18,MATCH(AC15,Results!$V$6:$V$18,1)))</f>
        <v/>
      </c>
    </row>
    <row r="16" spans="1:30" x14ac:dyDescent="0.2">
      <c r="A16" s="18">
        <f t="shared" ca="1" si="0"/>
        <v>11</v>
      </c>
      <c r="B16" s="38" t="str">
        <f>IF(Info!B16="Atlar şu ýeri","",Info!B16)</f>
        <v>Gurbanow Mekanmyrat</v>
      </c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20"/>
      <c r="AB16" s="21" t="str">
        <f t="shared" si="1"/>
        <v/>
      </c>
      <c r="AC16" s="22" t="str">
        <f t="shared" si="2"/>
        <v/>
      </c>
      <c r="AD16" s="23" t="str">
        <f>IF(AC16="","","   "&amp;INDEX(Results!$W$6:$W$18,MATCH(AC16,Results!$V$6:$V$18,1)))</f>
        <v/>
      </c>
    </row>
    <row r="17" spans="1:30" x14ac:dyDescent="0.2">
      <c r="A17" s="18">
        <f t="shared" ca="1" si="0"/>
        <v>12</v>
      </c>
      <c r="B17" s="38" t="str">
        <f>IF(Info!B17="Atlar şu ýeri","",Info!B17)</f>
        <v>Hojamuhammedow Guwanç</v>
      </c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20"/>
      <c r="AB17" s="21" t="str">
        <f t="shared" si="1"/>
        <v/>
      </c>
      <c r="AC17" s="22" t="str">
        <f t="shared" si="2"/>
        <v/>
      </c>
      <c r="AD17" s="23" t="str">
        <f>IF(AC17="","","   "&amp;INDEX(Results!$W$6:$W$18,MATCH(AC17,Results!$V$6:$V$18,1)))</f>
        <v/>
      </c>
    </row>
    <row r="18" spans="1:30" x14ac:dyDescent="0.2">
      <c r="A18" s="18">
        <f t="shared" ca="1" si="0"/>
        <v>13</v>
      </c>
      <c r="B18" s="38" t="str">
        <f>IF(Info!B18="Atlar şu ýeri","",Info!B18)</f>
        <v xml:space="preserve">Hojamämmedow  </v>
      </c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20"/>
      <c r="AB18" s="21" t="str">
        <f t="shared" si="1"/>
        <v/>
      </c>
      <c r="AC18" s="22" t="str">
        <f t="shared" si="2"/>
        <v/>
      </c>
      <c r="AD18" s="23" t="str">
        <f>IF(AC18="","","   "&amp;INDEX(Results!$W$6:$W$18,MATCH(AC18,Results!$V$6:$V$18,1)))</f>
        <v/>
      </c>
    </row>
    <row r="19" spans="1:30" x14ac:dyDescent="0.2">
      <c r="A19" s="18">
        <f t="shared" ca="1" si="0"/>
        <v>14</v>
      </c>
      <c r="B19" s="38" t="str">
        <f>IF(Info!B19="Atlar şu ýeri","",Info!B19)</f>
        <v>Hanowa Gülälek</v>
      </c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20"/>
      <c r="AB19" s="21" t="str">
        <f t="shared" si="1"/>
        <v/>
      </c>
      <c r="AC19" s="22" t="str">
        <f t="shared" si="2"/>
        <v/>
      </c>
      <c r="AD19" s="23" t="str">
        <f>IF(AC19="","","   "&amp;INDEX(Results!$W$6:$W$18,MATCH(AC19,Results!$V$6:$V$18,1)))</f>
        <v/>
      </c>
    </row>
    <row r="20" spans="1:30" x14ac:dyDescent="0.2">
      <c r="A20" s="18">
        <f t="shared" ca="1" si="0"/>
        <v>15</v>
      </c>
      <c r="B20" s="38" t="str">
        <f>IF(Info!B20="Atlar şu ýeri","",Info!B20)</f>
        <v>Husainow Serdar</v>
      </c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20"/>
      <c r="AB20" s="21" t="str">
        <f t="shared" si="1"/>
        <v/>
      </c>
      <c r="AC20" s="22" t="str">
        <f t="shared" si="2"/>
        <v/>
      </c>
      <c r="AD20" s="23" t="str">
        <f>IF(AC20="","","   "&amp;INDEX(Results!$W$6:$W$18,MATCH(AC20,Results!$V$6:$V$18,1)))</f>
        <v/>
      </c>
    </row>
    <row r="21" spans="1:30" x14ac:dyDescent="0.2">
      <c r="A21" s="18">
        <f t="shared" ca="1" si="0"/>
        <v>16</v>
      </c>
      <c r="B21" s="38" t="str">
        <f>IF(Info!B21="Atlar şu ýeri","",Info!B21)</f>
        <v>Orunowa Täçbibi</v>
      </c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20"/>
      <c r="AB21" s="21" t="str">
        <f t="shared" si="1"/>
        <v/>
      </c>
      <c r="AC21" s="22" t="str">
        <f t="shared" si="2"/>
        <v/>
      </c>
      <c r="AD21" s="23" t="str">
        <f>IF(AC21="","","   "&amp;INDEX(Results!$W$6:$W$18,MATCH(AC21,Results!$V$6:$V$18,1)))</f>
        <v/>
      </c>
    </row>
    <row r="22" spans="1:30" x14ac:dyDescent="0.2">
      <c r="A22" s="18">
        <f t="shared" ca="1" si="0"/>
        <v>17</v>
      </c>
      <c r="B22" s="38" t="str">
        <f>IF(Info!B22="Atlar şu ýeri","",Info!B22)</f>
        <v>Ilýasow Älem</v>
      </c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20"/>
      <c r="AB22" s="21" t="str">
        <f t="shared" si="1"/>
        <v/>
      </c>
      <c r="AC22" s="22" t="str">
        <f t="shared" si="2"/>
        <v/>
      </c>
      <c r="AD22" s="23" t="str">
        <f>IF(AC22="","","   "&amp;INDEX(Results!$W$6:$W$18,MATCH(AC22,Results!$V$6:$V$18,1)))</f>
        <v/>
      </c>
    </row>
    <row r="23" spans="1:30" x14ac:dyDescent="0.2">
      <c r="A23" s="18">
        <f t="shared" ca="1" si="0"/>
        <v>18</v>
      </c>
      <c r="B23" s="38" t="str">
        <f>IF(Info!B23="Atlar şu ýeri","",Info!B23)</f>
        <v>Karabaýew Begli</v>
      </c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20"/>
      <c r="AB23" s="21" t="str">
        <f t="shared" si="1"/>
        <v/>
      </c>
      <c r="AC23" s="22" t="str">
        <f t="shared" si="2"/>
        <v/>
      </c>
      <c r="AD23" s="23" t="str">
        <f>IF(AC23="","","   "&amp;INDEX(Results!$W$6:$W$18,MATCH(AC23,Results!$V$6:$V$18,1)))</f>
        <v/>
      </c>
    </row>
    <row r="24" spans="1:30" x14ac:dyDescent="0.2">
      <c r="A24" s="18">
        <f t="shared" ca="1" si="0"/>
        <v>19</v>
      </c>
      <c r="B24" s="38" t="str">
        <f>IF(Info!B24="Atlar şu ýeri","",Info!B24)</f>
        <v>Kurbanow Wekil</v>
      </c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20"/>
      <c r="AB24" s="21" t="str">
        <f t="shared" si="1"/>
        <v/>
      </c>
      <c r="AC24" s="22" t="str">
        <f t="shared" si="2"/>
        <v/>
      </c>
      <c r="AD24" s="23" t="str">
        <f>IF(AC24="","","   "&amp;INDEX(Results!$W$6:$W$18,MATCH(AC24,Results!$V$6:$V$18,1)))</f>
        <v/>
      </c>
    </row>
    <row r="25" spans="1:30" x14ac:dyDescent="0.2">
      <c r="A25" s="18">
        <f t="shared" ca="1" si="0"/>
        <v>20</v>
      </c>
      <c r="B25" s="38" t="str">
        <f>IF(Info!B25="Atlar şu ýeri","",Info!B25)</f>
        <v>Madraimow Seidjan</v>
      </c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20"/>
      <c r="AB25" s="21" t="str">
        <f t="shared" si="1"/>
        <v/>
      </c>
      <c r="AC25" s="22" t="str">
        <f t="shared" si="2"/>
        <v/>
      </c>
      <c r="AD25" s="23" t="str">
        <f>IF(AC25="","","   "&amp;INDEX(Results!$W$6:$W$18,MATCH(AC25,Results!$V$6:$V$18,1)))</f>
        <v/>
      </c>
    </row>
    <row r="26" spans="1:30" x14ac:dyDescent="0.2">
      <c r="A26" s="18">
        <f t="shared" ca="1" si="0"/>
        <v>21</v>
      </c>
      <c r="B26" s="38" t="str">
        <f>IF(Info!B26="Atlar şu ýeri","",Info!B26)</f>
        <v>Matmuradowa Gulnur</v>
      </c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20"/>
      <c r="AB26" s="21" t="str">
        <f t="shared" si="1"/>
        <v/>
      </c>
      <c r="AC26" s="22" t="str">
        <f t="shared" si="2"/>
        <v/>
      </c>
      <c r="AD26" s="23" t="str">
        <f>IF(AC26="","","   "&amp;INDEX(Results!$W$6:$W$18,MATCH(AC26,Results!$V$6:$V$18,1)))</f>
        <v/>
      </c>
    </row>
    <row r="27" spans="1:30" x14ac:dyDescent="0.2">
      <c r="A27" s="18">
        <f t="shared" ca="1" si="0"/>
        <v>22</v>
      </c>
      <c r="B27" s="38" t="str">
        <f>IF(Info!B27="Atlar şu ýeri","",Info!B27)</f>
        <v>Myradowa Aýjahan</v>
      </c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20"/>
      <c r="AB27" s="21" t="str">
        <f t="shared" si="1"/>
        <v/>
      </c>
      <c r="AC27" s="22" t="str">
        <f t="shared" si="2"/>
        <v/>
      </c>
      <c r="AD27" s="23" t="str">
        <f>IF(AC27="","","   "&amp;INDEX(Results!$W$6:$W$18,MATCH(AC27,Results!$V$6:$V$18,1)))</f>
        <v/>
      </c>
    </row>
    <row r="28" spans="1:30" x14ac:dyDescent="0.2">
      <c r="A28" s="18">
        <f t="shared" ca="1" si="0"/>
        <v>23</v>
      </c>
      <c r="B28" s="38" t="str">
        <f>IF(Info!B28="Atlar şu ýeri","",Info!B28)</f>
        <v>Osmanowa Ýyldyz</v>
      </c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20"/>
      <c r="AB28" s="21" t="str">
        <f t="shared" si="1"/>
        <v/>
      </c>
      <c r="AC28" s="22" t="str">
        <f t="shared" si="2"/>
        <v/>
      </c>
      <c r="AD28" s="23" t="str">
        <f>IF(AC28="","","   "&amp;INDEX(Results!$W$6:$W$18,MATCH(AC28,Results!$V$6:$V$18,1)))</f>
        <v/>
      </c>
    </row>
    <row r="29" spans="1:30" x14ac:dyDescent="0.2">
      <c r="A29" s="18">
        <f t="shared" ca="1" si="0"/>
        <v>24</v>
      </c>
      <c r="B29" s="38" t="str">
        <f>IF(Info!B29="Atlar şu ýeri","",Info!B29)</f>
        <v>Orazowa Aýnur</v>
      </c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20"/>
      <c r="AB29" s="21" t="str">
        <f t="shared" si="1"/>
        <v/>
      </c>
      <c r="AC29" s="22" t="str">
        <f t="shared" si="2"/>
        <v/>
      </c>
      <c r="AD29" s="23" t="str">
        <f>IF(AC29="","","   "&amp;INDEX(Results!$W$6:$W$18,MATCH(AC29,Results!$V$6:$V$18,1)))</f>
        <v/>
      </c>
    </row>
    <row r="30" spans="1:30" x14ac:dyDescent="0.2">
      <c r="A30" s="18">
        <f t="shared" ca="1" si="0"/>
        <v>25</v>
      </c>
      <c r="B30" s="38" t="str">
        <f>IF(Info!B30="Atlar şu ýeri","",Info!B30)</f>
        <v>Orunowa Aýjemal</v>
      </c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20"/>
      <c r="AB30" s="21" t="str">
        <f t="shared" si="1"/>
        <v/>
      </c>
      <c r="AC30" s="22" t="str">
        <f t="shared" si="2"/>
        <v/>
      </c>
      <c r="AD30" s="23" t="str">
        <f>IF(AC30="","","   "&amp;INDEX(Results!$W$6:$W$18,MATCH(AC30,Results!$V$6:$V$18,1)))</f>
        <v/>
      </c>
    </row>
    <row r="31" spans="1:30" x14ac:dyDescent="0.2">
      <c r="A31" s="18">
        <f t="shared" ca="1" si="0"/>
        <v>26</v>
      </c>
      <c r="B31" s="38" t="str">
        <f>IF(Info!B31="Atlar şu ýeri","",Info!B31)</f>
        <v>Öwezow Döwlet</v>
      </c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20"/>
      <c r="AB31" s="21" t="str">
        <f t="shared" si="1"/>
        <v/>
      </c>
      <c r="AC31" s="22" t="str">
        <f t="shared" si="2"/>
        <v/>
      </c>
      <c r="AD31" s="23" t="str">
        <f>IF(AC31="","","   "&amp;INDEX(Results!$W$6:$W$18,MATCH(AC31,Results!$V$6:$V$18,1)))</f>
        <v/>
      </c>
    </row>
    <row r="32" spans="1:30" x14ac:dyDescent="0.2">
      <c r="A32" s="18">
        <f t="shared" ca="1" si="0"/>
        <v>27</v>
      </c>
      <c r="B32" s="38" t="str">
        <f>IF(Info!B32="Atlar şu ýeri","",Info!B32)</f>
        <v>Piriýew Aýhan</v>
      </c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20"/>
      <c r="AB32" s="21" t="str">
        <f t="shared" si="1"/>
        <v/>
      </c>
      <c r="AC32" s="22" t="str">
        <f t="shared" si="2"/>
        <v/>
      </c>
      <c r="AD32" s="23" t="str">
        <f>IF(AC32="","","   "&amp;INDEX(Results!$W$6:$W$18,MATCH(AC32,Results!$V$6:$V$18,1)))</f>
        <v/>
      </c>
    </row>
    <row r="33" spans="1:32" x14ac:dyDescent="0.2">
      <c r="A33" s="18">
        <f t="shared" ca="1" si="0"/>
        <v>28</v>
      </c>
      <c r="B33" s="38" t="str">
        <f>IF(Info!B33="Atlar şu ýeri","",Info!B33)</f>
        <v>Taganow Sanjar</v>
      </c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20"/>
      <c r="AB33" s="21" t="str">
        <f t="shared" si="1"/>
        <v/>
      </c>
      <c r="AC33" s="22" t="str">
        <f t="shared" si="2"/>
        <v/>
      </c>
      <c r="AD33" s="23" t="str">
        <f>IF(AC33="","","   "&amp;INDEX(Results!$W$6:$W$18,MATCH(AC33,Results!$V$6:$V$18,1)))</f>
        <v/>
      </c>
    </row>
    <row r="34" spans="1:32" x14ac:dyDescent="0.2">
      <c r="A34" s="18">
        <f t="shared" ca="1" si="0"/>
        <v>29</v>
      </c>
      <c r="B34" s="38" t="str">
        <f>IF(Info!B34="Atlar şu ýeri","",Info!B34)</f>
        <v>Weliýew Öwez</v>
      </c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20"/>
      <c r="AB34" s="21" t="str">
        <f t="shared" si="1"/>
        <v/>
      </c>
      <c r="AC34" s="22" t="str">
        <f t="shared" si="2"/>
        <v/>
      </c>
      <c r="AD34" s="23" t="str">
        <f>IF(AC34="","","   "&amp;INDEX(Results!$W$6:$W$18,MATCH(AC34,Results!$V$6:$V$18,1)))</f>
        <v/>
      </c>
    </row>
    <row r="35" spans="1:32" x14ac:dyDescent="0.2">
      <c r="A35" s="18">
        <f t="shared" ca="1" si="0"/>
        <v>30</v>
      </c>
      <c r="B35" s="38" t="str">
        <f>IF(Info!B35="Atlar şu ýeri","",Info!B35)</f>
        <v>Ýagşybaýew Muhammet</v>
      </c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20"/>
      <c r="AB35" s="21" t="str">
        <f t="shared" si="1"/>
        <v/>
      </c>
      <c r="AC35" s="22" t="str">
        <f t="shared" si="2"/>
        <v/>
      </c>
      <c r="AD35" s="23" t="str">
        <f>IF(AC35="","","   "&amp;INDEX(Results!$W$6:$W$18,MATCH(AC35,Results!$V$6:$V$18,1)))</f>
        <v/>
      </c>
    </row>
    <row r="36" spans="1:32" x14ac:dyDescent="0.2">
      <c r="A36" s="18">
        <f t="shared" ca="1" si="0"/>
        <v>31</v>
      </c>
      <c r="B36" s="38" t="str">
        <f>IF(Info!B36="Atlar şu ýeri","",Info!B36)</f>
        <v>Ýazberdiýewa Söýli</v>
      </c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20"/>
      <c r="AB36" s="21" t="str">
        <f t="shared" si="1"/>
        <v/>
      </c>
      <c r="AC36" s="22" t="str">
        <f t="shared" si="2"/>
        <v/>
      </c>
      <c r="AD36" s="23" t="str">
        <f>IF(AC36="","","   "&amp;INDEX(Results!$W$6:$W$18,MATCH(AC36,Results!$V$6:$V$18,1)))</f>
        <v/>
      </c>
    </row>
    <row r="37" spans="1:32" x14ac:dyDescent="0.2">
      <c r="A37" s="18">
        <f t="shared" ca="1" si="0"/>
        <v>32</v>
      </c>
      <c r="B37" s="38" t="str">
        <f>IF(Info!B37="Atlar şu ýeri","",Info!B37)</f>
        <v>Ýazyýewa Meňli</v>
      </c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20"/>
      <c r="AB37" s="21" t="str">
        <f t="shared" si="1"/>
        <v/>
      </c>
      <c r="AC37" s="22" t="str">
        <f t="shared" si="2"/>
        <v/>
      </c>
      <c r="AD37" s="23" t="str">
        <f>IF(AC37="","","   "&amp;INDEX(Results!$W$6:$W$18,MATCH(AC37,Results!$V$6:$V$18,1)))</f>
        <v/>
      </c>
    </row>
    <row r="38" spans="1:32" x14ac:dyDescent="0.2">
      <c r="A38" s="18">
        <f t="shared" ca="1" si="0"/>
        <v>33</v>
      </c>
      <c r="B38" s="38" t="str">
        <f>IF(Info!B38="Atlar şu ýeri","",Info!B38)</f>
        <v>Ýunusow Ýunus</v>
      </c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20"/>
      <c r="AB38" s="21" t="str">
        <f t="shared" si="1"/>
        <v/>
      </c>
      <c r="AC38" s="22" t="str">
        <f t="shared" si="2"/>
        <v/>
      </c>
      <c r="AD38" s="23" t="str">
        <f>IF(AC38="","","   "&amp;INDEX(Results!$W$6:$W$18,MATCH(AC38,Results!$V$6:$V$18,1)))</f>
        <v/>
      </c>
    </row>
    <row r="39" spans="1:32" x14ac:dyDescent="0.2">
      <c r="A39" s="18">
        <f t="shared" ca="1" si="0"/>
        <v>34</v>
      </c>
      <c r="B39" s="38" t="str">
        <f>IF(Info!B39="Atlar şu ýeri","",Info!B39)</f>
        <v>Ýusupowa  Jahan</v>
      </c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20"/>
      <c r="AB39" s="21" t="str">
        <f t="shared" si="1"/>
        <v/>
      </c>
      <c r="AC39" s="22" t="str">
        <f t="shared" si="2"/>
        <v/>
      </c>
      <c r="AD39" s="23" t="str">
        <f>IF(AC39="","","   "&amp;INDEX(Results!$W$6:$W$18,MATCH(AC39,Results!$V$6:$V$18,1)))</f>
        <v/>
      </c>
    </row>
    <row r="40" spans="1:32" x14ac:dyDescent="0.2">
      <c r="A40" s="18">
        <f t="shared" ca="1" si="0"/>
        <v>35</v>
      </c>
      <c r="B40" s="38" t="str">
        <f>IF(Info!B40="Atlar şu ýeri","",Info!B40)</f>
        <v/>
      </c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20"/>
      <c r="AB40" s="21" t="str">
        <f t="shared" si="1"/>
        <v/>
      </c>
      <c r="AC40" s="22" t="str">
        <f t="shared" si="2"/>
        <v/>
      </c>
      <c r="AD40" s="23" t="str">
        <f>IF(AC40="","","   "&amp;INDEX(Results!$W$6:$W$18,MATCH(AC40,Results!$V$6:$V$18,1)))</f>
        <v/>
      </c>
    </row>
    <row r="41" spans="1:32" x14ac:dyDescent="0.2">
      <c r="A41" s="18">
        <f t="shared" ca="1" si="0"/>
        <v>36</v>
      </c>
      <c r="B41" s="38" t="str">
        <f>IF(Info!B41="Atlar şu ýeri","",Info!B41)</f>
        <v/>
      </c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20"/>
      <c r="AB41" s="21" t="str">
        <f t="shared" si="1"/>
        <v/>
      </c>
      <c r="AC41" s="22" t="str">
        <f t="shared" si="2"/>
        <v/>
      </c>
      <c r="AD41" s="23" t="str">
        <f>IF(AC41="","","   "&amp;INDEX(Results!$W$6:$W$18,MATCH(AC41,Results!$V$6:$V$18,1)))</f>
        <v/>
      </c>
    </row>
    <row r="42" spans="1:32" x14ac:dyDescent="0.2">
      <c r="A42" s="18">
        <f t="shared" ca="1" si="0"/>
        <v>37</v>
      </c>
      <c r="B42" s="38" t="str">
        <f>IF(Info!B42="Atlar şu ýeri","",Info!B42)</f>
        <v/>
      </c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20"/>
      <c r="AB42" s="21" t="str">
        <f t="shared" si="1"/>
        <v/>
      </c>
      <c r="AC42" s="22" t="str">
        <f t="shared" si="2"/>
        <v/>
      </c>
      <c r="AD42" s="23" t="str">
        <f>IF(AC42="","","   "&amp;INDEX(Results!$W$6:$W$18,MATCH(AC42,Results!$V$6:$V$18,1)))</f>
        <v/>
      </c>
    </row>
    <row r="43" spans="1:32" x14ac:dyDescent="0.2">
      <c r="A43" s="18">
        <f t="shared" ca="1" si="0"/>
        <v>38</v>
      </c>
      <c r="B43" s="38" t="str">
        <f>IF(Info!B43="Atlar şu ýeri","",Info!B43)</f>
        <v/>
      </c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20"/>
      <c r="AB43" s="21" t="str">
        <f t="shared" si="1"/>
        <v/>
      </c>
      <c r="AC43" s="22" t="str">
        <f t="shared" si="2"/>
        <v/>
      </c>
      <c r="AD43" s="23" t="str">
        <f>IF(AC43="","","   "&amp;INDEX(Results!$W$6:$W$18,MATCH(AC43,Results!$V$6:$V$18,1)))</f>
        <v/>
      </c>
    </row>
    <row r="44" spans="1:32" x14ac:dyDescent="0.2">
      <c r="A44" s="18">
        <f t="shared" ca="1" si="0"/>
        <v>39</v>
      </c>
      <c r="B44" s="38" t="str">
        <f>IF(Info!B44="Atlar şu ýeri","",Info!B44)</f>
        <v/>
      </c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20"/>
      <c r="AB44" s="21" t="str">
        <f t="shared" si="1"/>
        <v/>
      </c>
      <c r="AC44" s="22" t="str">
        <f t="shared" si="2"/>
        <v/>
      </c>
      <c r="AD44" s="23" t="str">
        <f>IF(AC44="","","   "&amp;INDEX(Results!$W$6:$W$18,MATCH(AC44,Results!$V$6:$V$18,1)))</f>
        <v/>
      </c>
    </row>
    <row r="45" spans="1:32" x14ac:dyDescent="0.2">
      <c r="A45" s="18">
        <f t="shared" ca="1" si="0"/>
        <v>40</v>
      </c>
      <c r="B45" s="38" t="str">
        <f>IF(Info!B45="Atlar şu ýeri","",Info!B45)</f>
        <v/>
      </c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20"/>
      <c r="AB45" s="21" t="str">
        <f t="shared" si="1"/>
        <v/>
      </c>
      <c r="AC45" s="22" t="str">
        <f t="shared" si="2"/>
        <v/>
      </c>
      <c r="AD45" s="23" t="str">
        <f>IF(AC45="","","   "&amp;INDEX(Results!$W$6:$W$18,MATCH(AC45,Results!$V$6:$V$18,1)))</f>
        <v/>
      </c>
    </row>
    <row r="46" spans="1:32" x14ac:dyDescent="0.2">
      <c r="A46" s="24" t="s">
        <v>0</v>
      </c>
      <c r="B46" s="25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96">
        <v>1</v>
      </c>
      <c r="AA46" s="27"/>
      <c r="AB46" s="28"/>
      <c r="AC46" s="29"/>
      <c r="AD46" s="30"/>
    </row>
    <row r="47" spans="1:32" x14ac:dyDescent="0.2">
      <c r="A47" s="2"/>
      <c r="B47" s="31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AA47" s="27"/>
      <c r="AB47" s="33" t="s">
        <v>155</v>
      </c>
      <c r="AC47" s="34" t="e">
        <f>AVERAGE(AC6:AC46)</f>
        <v>#DIV/0!</v>
      </c>
      <c r="AD47" s="35" t="e">
        <f>IF(AC47="","",INDEX(Results!$W$6:$W$18,MATCH(AC47,Results!$V$6:$V$18,1)))</f>
        <v>#DIV/0!</v>
      </c>
      <c r="AF47" s="36"/>
    </row>
    <row r="48" spans="1:32" x14ac:dyDescent="0.2">
      <c r="A48" s="2"/>
      <c r="B48" s="31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27"/>
      <c r="AB48" s="90"/>
      <c r="AC48" s="91"/>
      <c r="AD48" s="92"/>
      <c r="AF48" s="36"/>
    </row>
    <row r="49" spans="1:30" x14ac:dyDescent="0.2">
      <c r="A49" s="2"/>
      <c r="B49" s="37"/>
      <c r="C49" s="32"/>
      <c r="D49" s="32"/>
      <c r="E49" s="32"/>
      <c r="F49" s="32"/>
      <c r="G49" s="32"/>
      <c r="H49" s="32"/>
      <c r="I49" s="93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27"/>
      <c r="AB49" s="2"/>
      <c r="AC49" s="2"/>
      <c r="AD49" s="2"/>
    </row>
  </sheetData>
  <mergeCells count="4">
    <mergeCell ref="AB3:AB4"/>
    <mergeCell ref="AC3:AC4"/>
    <mergeCell ref="AD3:AD4"/>
    <mergeCell ref="C1:T1"/>
  </mergeCell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/>
  <headerFooter alignWithMargins="0"/>
  <drawing r:id="rId1"/>
  <legacyDrawing r:id="rId2"/>
  <controls>
    <mc:AlternateContent xmlns:mc="http://schemas.openxmlformats.org/markup-compatibility/2006">
      <mc:Choice Requires="x14">
        <control shapeId="17409" r:id="rId3" name="CommandButton1">
          <controlPr defaultSize="0" autoLine="0" r:id="rId4">
            <anchor moveWithCells="1">
              <from>
                <xdr:col>31</xdr:col>
                <xdr:colOff>19050</xdr:colOff>
                <xdr:row>1</xdr:row>
                <xdr:rowOff>47625</xdr:rowOff>
              </from>
              <to>
                <xdr:col>32</xdr:col>
                <xdr:colOff>57150</xdr:colOff>
                <xdr:row>2</xdr:row>
                <xdr:rowOff>523875</xdr:rowOff>
              </to>
            </anchor>
          </controlPr>
        </control>
      </mc:Choice>
      <mc:Fallback>
        <control shapeId="17409" r:id="rId3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43"/>
  <sheetViews>
    <sheetView workbookViewId="0">
      <selection sqref="A1:AL43"/>
    </sheetView>
  </sheetViews>
  <sheetFormatPr defaultRowHeight="12.75" x14ac:dyDescent="0.2"/>
  <cols>
    <col min="1" max="1" width="3.7109375" style="1" customWidth="1"/>
    <col min="2" max="2" width="38" style="1" bestFit="1" customWidth="1"/>
    <col min="3" max="16" width="7.140625" style="1" customWidth="1"/>
    <col min="17" max="17" width="1.42578125" style="1" customWidth="1"/>
    <col min="18" max="18" width="7.5703125" style="1" customWidth="1"/>
    <col min="19" max="19" width="10.5703125" style="1" bestFit="1" customWidth="1"/>
    <col min="20" max="20" width="6.85546875" style="1" customWidth="1"/>
    <col min="21" max="21" width="5.28515625" style="1" customWidth="1"/>
    <col min="22" max="22" width="16.7109375" style="1" customWidth="1"/>
    <col min="23" max="16384" width="9.140625" style="1"/>
  </cols>
  <sheetData>
    <row r="1" spans="1:30" ht="19.5" x14ac:dyDescent="0.3">
      <c r="A1" s="2"/>
      <c r="B1" s="3" t="s">
        <v>56</v>
      </c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87"/>
      <c r="V1" s="87"/>
      <c r="W1" s="4"/>
      <c r="X1" s="4"/>
      <c r="Y1" s="4"/>
      <c r="Z1" s="4"/>
      <c r="AA1" s="4"/>
      <c r="AB1" s="4"/>
      <c r="AC1" s="6"/>
      <c r="AD1" s="6"/>
    </row>
    <row r="2" spans="1:30" ht="15" x14ac:dyDescent="0.25">
      <c r="A2" s="2"/>
      <c r="B2" s="7" t="s">
        <v>10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10"/>
    </row>
    <row r="3" spans="1:30" ht="42" customHeight="1" x14ac:dyDescent="0.25">
      <c r="A3" s="11"/>
      <c r="B3" s="12" t="s">
        <v>14</v>
      </c>
      <c r="C3" s="13" t="s">
        <v>15</v>
      </c>
      <c r="D3" s="13" t="s">
        <v>16</v>
      </c>
      <c r="E3" s="13" t="s">
        <v>17</v>
      </c>
      <c r="F3" s="13" t="s">
        <v>18</v>
      </c>
      <c r="G3" s="13" t="s">
        <v>19</v>
      </c>
      <c r="H3" s="13" t="s">
        <v>20</v>
      </c>
      <c r="I3" s="13" t="s">
        <v>21</v>
      </c>
      <c r="J3" s="13" t="s">
        <v>22</v>
      </c>
      <c r="K3" s="13" t="s">
        <v>23</v>
      </c>
      <c r="L3" s="13" t="s">
        <v>24</v>
      </c>
      <c r="M3" s="13" t="s">
        <v>25</v>
      </c>
      <c r="N3" s="13" t="s">
        <v>26</v>
      </c>
      <c r="O3" s="13" t="s">
        <v>27</v>
      </c>
      <c r="P3" s="13" t="s">
        <v>28</v>
      </c>
      <c r="Q3" s="13" t="s">
        <v>46</v>
      </c>
      <c r="R3" s="13" t="s">
        <v>47</v>
      </c>
      <c r="S3" s="13" t="s">
        <v>48</v>
      </c>
      <c r="T3" s="13" t="s">
        <v>49</v>
      </c>
      <c r="U3" s="13" t="s">
        <v>50</v>
      </c>
      <c r="V3" s="13" t="s">
        <v>51</v>
      </c>
      <c r="W3" s="13" t="s">
        <v>52</v>
      </c>
      <c r="X3" s="13" t="s">
        <v>53</v>
      </c>
      <c r="Y3" s="13" t="s">
        <v>54</v>
      </c>
      <c r="Z3" s="13" t="s">
        <v>55</v>
      </c>
      <c r="AA3" s="14"/>
      <c r="AB3" s="97" t="s">
        <v>29</v>
      </c>
      <c r="AC3" s="98" t="s">
        <v>36</v>
      </c>
      <c r="AD3" s="99" t="s">
        <v>35</v>
      </c>
    </row>
    <row r="4" spans="1:30" x14ac:dyDescent="0.2">
      <c r="A4" s="11"/>
      <c r="B4" s="15" t="s">
        <v>30</v>
      </c>
      <c r="C4" s="16">
        <v>5</v>
      </c>
      <c r="D4" s="16">
        <v>5</v>
      </c>
      <c r="E4" s="16">
        <v>5</v>
      </c>
      <c r="F4" s="16">
        <v>5</v>
      </c>
      <c r="G4" s="16">
        <v>5</v>
      </c>
      <c r="H4" s="16">
        <v>5</v>
      </c>
      <c r="I4" s="16">
        <v>5</v>
      </c>
      <c r="J4" s="16">
        <v>5</v>
      </c>
      <c r="K4" s="16">
        <v>5</v>
      </c>
      <c r="L4" s="16">
        <v>5</v>
      </c>
      <c r="M4" s="16">
        <v>5</v>
      </c>
      <c r="N4" s="16">
        <v>5</v>
      </c>
      <c r="O4" s="16">
        <v>5</v>
      </c>
      <c r="P4" s="16">
        <v>5</v>
      </c>
      <c r="Q4" s="16">
        <v>5</v>
      </c>
      <c r="R4" s="16">
        <v>5</v>
      </c>
      <c r="S4" s="16">
        <v>5</v>
      </c>
      <c r="T4" s="16">
        <v>5</v>
      </c>
      <c r="U4" s="16">
        <v>5</v>
      </c>
      <c r="V4" s="16">
        <v>5</v>
      </c>
      <c r="W4" s="16">
        <v>5</v>
      </c>
      <c r="X4" s="16">
        <v>5</v>
      </c>
      <c r="Y4" s="16">
        <v>5</v>
      </c>
      <c r="Z4" s="16">
        <v>5</v>
      </c>
      <c r="AA4" s="17"/>
      <c r="AB4" s="97"/>
      <c r="AC4" s="97"/>
      <c r="AD4" s="97"/>
    </row>
    <row r="5" spans="1:30" ht="6" customHeight="1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18">
        <f t="shared" ref="A6:A43" ca="1" si="0">OFFSET(A6,-1,0,1,1)+1</f>
        <v>1</v>
      </c>
      <c r="B6" s="38" t="str">
        <f>IF(Info!B6="Atlar şu ýeri","",Info!B6)</f>
        <v>Abdullaýewa Dinara</v>
      </c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20"/>
      <c r="AB6" s="21" t="str">
        <f t="shared" ref="AB6:AB33" si="1">IF(SUM(C6:Z6)=0,"",SUMPRODUCT(C6:Z6))</f>
        <v/>
      </c>
      <c r="AC6" s="22" t="str">
        <f t="shared" ref="AC6:AC33" si="2">IF(SUM(C6:Z6)=0,"",AB6/(SUMIF(C6:Z6,"&lt;&gt;",$C$4:$Z$4)-SUMIF(C6:Z6,"=E",$C$4:$Z$4)))</f>
        <v/>
      </c>
      <c r="AD6" s="23" t="str">
        <f>IF(AC6="","","   "&amp;INDEX(Results!$W$6:$W$18,MATCH(AC6,Results!$V$6:$V$18,1)))</f>
        <v/>
      </c>
    </row>
    <row r="7" spans="1:30" x14ac:dyDescent="0.2">
      <c r="A7" s="18">
        <f t="shared" ca="1" si="0"/>
        <v>2</v>
      </c>
      <c r="B7" s="38" t="str">
        <f>IF(Info!B7="Atlar şu ýeri","",Info!B7)</f>
        <v>Arslanow Yhlas</v>
      </c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20"/>
      <c r="AB7" s="21" t="str">
        <f t="shared" si="1"/>
        <v/>
      </c>
      <c r="AC7" s="22" t="str">
        <f t="shared" si="2"/>
        <v/>
      </c>
      <c r="AD7" s="23" t="str">
        <f>IF(AC7="","","   "&amp;INDEX(Results!$W$6:$W$18,MATCH(AC7,Results!$V$6:$V$18,1)))</f>
        <v/>
      </c>
    </row>
    <row r="8" spans="1:30" x14ac:dyDescent="0.2">
      <c r="A8" s="18">
        <f t="shared" ca="1" si="0"/>
        <v>3</v>
      </c>
      <c r="B8" s="38" t="str">
        <f>IF(Info!B8="Atlar şu ýeri","",Info!B8)</f>
        <v>Aşyrowa Maýsa</v>
      </c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20"/>
      <c r="AB8" s="21" t="str">
        <f t="shared" si="1"/>
        <v/>
      </c>
      <c r="AC8" s="22" t="str">
        <f t="shared" si="2"/>
        <v/>
      </c>
      <c r="AD8" s="23" t="str">
        <f>IF(AC8="","","   "&amp;INDEX(Results!$W$6:$W$18,MATCH(AC8,Results!$V$6:$V$18,1)))</f>
        <v/>
      </c>
    </row>
    <row r="9" spans="1:30" x14ac:dyDescent="0.2">
      <c r="A9" s="18">
        <f t="shared" ca="1" si="0"/>
        <v>4</v>
      </c>
      <c r="B9" s="38" t="str">
        <f>IF(Info!B9="Atlar şu ýeri","",Info!B9)</f>
        <v>Atabaýewa Ogulaý</v>
      </c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20"/>
      <c r="AB9" s="21" t="str">
        <f t="shared" si="1"/>
        <v/>
      </c>
      <c r="AC9" s="22" t="str">
        <f t="shared" si="2"/>
        <v/>
      </c>
      <c r="AD9" s="23" t="str">
        <f>IF(AC9="","","   "&amp;INDEX(Results!$W$6:$W$18,MATCH(AC9,Results!$V$6:$V$18,1)))</f>
        <v/>
      </c>
    </row>
    <row r="10" spans="1:30" x14ac:dyDescent="0.2">
      <c r="A10" s="18">
        <f t="shared" ca="1" si="0"/>
        <v>5</v>
      </c>
      <c r="B10" s="38" t="str">
        <f>IF(Info!B10="Atlar şu ýeri","",Info!B10)</f>
        <v>Atanazarow Meýlis</v>
      </c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20"/>
      <c r="AB10" s="21" t="str">
        <f t="shared" si="1"/>
        <v/>
      </c>
      <c r="AC10" s="22" t="str">
        <f t="shared" si="2"/>
        <v/>
      </c>
      <c r="AD10" s="23" t="str">
        <f>IF(AC10="","","   "&amp;INDEX(Results!$W$6:$W$18,MATCH(AC10,Results!$V$6:$V$18,1)))</f>
        <v/>
      </c>
    </row>
    <row r="11" spans="1:30" x14ac:dyDescent="0.2">
      <c r="A11" s="18">
        <f t="shared" ca="1" si="0"/>
        <v>6</v>
      </c>
      <c r="B11" s="38" t="str">
        <f>IF(Info!B11="Atlar şu ýeri","",Info!B11)</f>
        <v>Babajanowa Aýlar</v>
      </c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20"/>
      <c r="AB11" s="21" t="str">
        <f t="shared" si="1"/>
        <v/>
      </c>
      <c r="AC11" s="22" t="str">
        <f t="shared" si="2"/>
        <v/>
      </c>
      <c r="AD11" s="23" t="str">
        <f>IF(AC11="","","   "&amp;INDEX(Results!$W$6:$W$18,MATCH(AC11,Results!$V$6:$V$18,1)))</f>
        <v/>
      </c>
    </row>
    <row r="12" spans="1:30" x14ac:dyDescent="0.2">
      <c r="A12" s="18">
        <f t="shared" ca="1" si="0"/>
        <v>7</v>
      </c>
      <c r="B12" s="38" t="str">
        <f>IF(Info!B12="Atlar şu ýeri","",Info!B12)</f>
        <v>Babajanowa Selbi</v>
      </c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20"/>
      <c r="AB12" s="21" t="str">
        <f t="shared" si="1"/>
        <v/>
      </c>
      <c r="AC12" s="22" t="str">
        <f t="shared" si="2"/>
        <v/>
      </c>
      <c r="AD12" s="23" t="str">
        <f>IF(AC12="","","   "&amp;INDEX(Results!$W$6:$W$18,MATCH(AC12,Results!$V$6:$V$18,1)))</f>
        <v/>
      </c>
    </row>
    <row r="13" spans="1:30" x14ac:dyDescent="0.2">
      <c r="A13" s="18">
        <f t="shared" ca="1" si="0"/>
        <v>8</v>
      </c>
      <c r="B13" s="38" t="str">
        <f>IF(Info!B13="Atlar şu ýeri","",Info!B13)</f>
        <v>Ataýew Nurgeldi</v>
      </c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20"/>
      <c r="AB13" s="21" t="str">
        <f t="shared" si="1"/>
        <v/>
      </c>
      <c r="AC13" s="22" t="str">
        <f t="shared" si="2"/>
        <v/>
      </c>
      <c r="AD13" s="23" t="str">
        <f>IF(AC13="","","   "&amp;INDEX(Results!$W$6:$W$18,MATCH(AC13,Results!$V$6:$V$18,1)))</f>
        <v/>
      </c>
    </row>
    <row r="14" spans="1:30" x14ac:dyDescent="0.2">
      <c r="A14" s="18">
        <f t="shared" ca="1" si="0"/>
        <v>9</v>
      </c>
      <c r="B14" s="38" t="str">
        <f>IF(Info!B14="Atlar şu ýeri","",Info!B14)</f>
        <v>Batyrow Arafat</v>
      </c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20"/>
      <c r="AB14" s="21" t="str">
        <f t="shared" si="1"/>
        <v/>
      </c>
      <c r="AC14" s="22" t="str">
        <f t="shared" si="2"/>
        <v/>
      </c>
      <c r="AD14" s="23" t="str">
        <f>IF(AC14="","","   "&amp;INDEX(Results!$W$6:$W$18,MATCH(AC14,Results!$V$6:$V$18,1)))</f>
        <v/>
      </c>
    </row>
    <row r="15" spans="1:30" x14ac:dyDescent="0.2">
      <c r="A15" s="18">
        <f t="shared" ca="1" si="0"/>
        <v>10</v>
      </c>
      <c r="B15" s="38" t="str">
        <f>IF(Info!B15="Atlar şu ýeri","",Info!B15)</f>
        <v>Çaryýew Kemal</v>
      </c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20"/>
      <c r="AB15" s="21" t="str">
        <f t="shared" si="1"/>
        <v/>
      </c>
      <c r="AC15" s="22" t="str">
        <f t="shared" si="2"/>
        <v/>
      </c>
      <c r="AD15" s="23" t="str">
        <f>IF(AC15="","","   "&amp;INDEX(Results!$W$6:$W$18,MATCH(AC15,Results!$V$6:$V$18,1)))</f>
        <v/>
      </c>
    </row>
    <row r="16" spans="1:30" x14ac:dyDescent="0.2">
      <c r="A16" s="18">
        <f t="shared" ca="1" si="0"/>
        <v>11</v>
      </c>
      <c r="B16" s="38" t="str">
        <f>IF(Info!B16="Atlar şu ýeri","",Info!B16)</f>
        <v>Gurbanow Mekanmyrat</v>
      </c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20"/>
      <c r="AB16" s="21" t="str">
        <f t="shared" si="1"/>
        <v/>
      </c>
      <c r="AC16" s="22" t="str">
        <f t="shared" si="2"/>
        <v/>
      </c>
      <c r="AD16" s="23" t="str">
        <f>IF(AC16="","","   "&amp;INDEX(Results!$W$6:$W$18,MATCH(AC16,Results!$V$6:$V$18,1)))</f>
        <v/>
      </c>
    </row>
    <row r="17" spans="1:30" x14ac:dyDescent="0.2">
      <c r="A17" s="18">
        <f t="shared" ca="1" si="0"/>
        <v>12</v>
      </c>
      <c r="B17" s="38" t="str">
        <f>IF(Info!B17="Atlar şu ýeri","",Info!B17)</f>
        <v>Hojamuhammedow Guwanç</v>
      </c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20"/>
      <c r="AB17" s="21" t="str">
        <f t="shared" si="1"/>
        <v/>
      </c>
      <c r="AC17" s="22" t="str">
        <f t="shared" si="2"/>
        <v/>
      </c>
      <c r="AD17" s="23" t="str">
        <f>IF(AC17="","","   "&amp;INDEX(Results!$W$6:$W$18,MATCH(AC17,Results!$V$6:$V$18,1)))</f>
        <v/>
      </c>
    </row>
    <row r="18" spans="1:30" x14ac:dyDescent="0.2">
      <c r="A18" s="18">
        <f t="shared" ca="1" si="0"/>
        <v>13</v>
      </c>
      <c r="B18" s="38" t="str">
        <f>IF(Info!B18="Atlar şu ýeri","",Info!B18)</f>
        <v xml:space="preserve">Hojamämmedow  </v>
      </c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20"/>
      <c r="AB18" s="21" t="str">
        <f t="shared" si="1"/>
        <v/>
      </c>
      <c r="AC18" s="22" t="str">
        <f t="shared" si="2"/>
        <v/>
      </c>
      <c r="AD18" s="23" t="str">
        <f>IF(AC18="","","   "&amp;INDEX(Results!$W$6:$W$18,MATCH(AC18,Results!$V$6:$V$18,1)))</f>
        <v/>
      </c>
    </row>
    <row r="19" spans="1:30" x14ac:dyDescent="0.2">
      <c r="A19" s="18">
        <f t="shared" ca="1" si="0"/>
        <v>14</v>
      </c>
      <c r="B19" s="38" t="str">
        <f>IF(Info!B19="Atlar şu ýeri","",Info!B19)</f>
        <v>Hanowa Gülälek</v>
      </c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20"/>
      <c r="AB19" s="21" t="str">
        <f t="shared" si="1"/>
        <v/>
      </c>
      <c r="AC19" s="22" t="str">
        <f t="shared" si="2"/>
        <v/>
      </c>
      <c r="AD19" s="23" t="str">
        <f>IF(AC19="","","   "&amp;INDEX(Results!$W$6:$W$18,MATCH(AC19,Results!$V$6:$V$18,1)))</f>
        <v/>
      </c>
    </row>
    <row r="20" spans="1:30" x14ac:dyDescent="0.2">
      <c r="A20" s="18">
        <f t="shared" ca="1" si="0"/>
        <v>15</v>
      </c>
      <c r="B20" s="38" t="str">
        <f>IF(Info!B20="Atlar şu ýeri","",Info!B20)</f>
        <v>Husainow Serdar</v>
      </c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20"/>
      <c r="AB20" s="21" t="str">
        <f t="shared" si="1"/>
        <v/>
      </c>
      <c r="AC20" s="22" t="str">
        <f t="shared" si="2"/>
        <v/>
      </c>
      <c r="AD20" s="23" t="str">
        <f>IF(AC20="","","   "&amp;INDEX(Results!$W$6:$W$18,MATCH(AC20,Results!$V$6:$V$18,1)))</f>
        <v/>
      </c>
    </row>
    <row r="21" spans="1:30" x14ac:dyDescent="0.2">
      <c r="A21" s="18">
        <f t="shared" ca="1" si="0"/>
        <v>16</v>
      </c>
      <c r="B21" s="38" t="str">
        <f>IF(Info!B21="Atlar şu ýeri","",Info!B21)</f>
        <v>Orunowa Täçbibi</v>
      </c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20"/>
      <c r="AB21" s="21" t="str">
        <f t="shared" si="1"/>
        <v/>
      </c>
      <c r="AC21" s="22" t="str">
        <f t="shared" si="2"/>
        <v/>
      </c>
      <c r="AD21" s="23" t="str">
        <f>IF(AC21="","","   "&amp;INDEX(Results!$W$6:$W$18,MATCH(AC21,Results!$V$6:$V$18,1)))</f>
        <v/>
      </c>
    </row>
    <row r="22" spans="1:30" x14ac:dyDescent="0.2">
      <c r="A22" s="18">
        <f t="shared" ca="1" si="0"/>
        <v>17</v>
      </c>
      <c r="B22" s="38" t="str">
        <f>IF(Info!B22="Atlar şu ýeri","",Info!B22)</f>
        <v>Ilýasow Älem</v>
      </c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20"/>
      <c r="AB22" s="21" t="str">
        <f t="shared" si="1"/>
        <v/>
      </c>
      <c r="AC22" s="22" t="str">
        <f t="shared" si="2"/>
        <v/>
      </c>
      <c r="AD22" s="23" t="str">
        <f>IF(AC22="","","   "&amp;INDEX(Results!$W$6:$W$18,MATCH(AC22,Results!$V$6:$V$18,1)))</f>
        <v/>
      </c>
    </row>
    <row r="23" spans="1:30" x14ac:dyDescent="0.2">
      <c r="A23" s="18">
        <f t="shared" ca="1" si="0"/>
        <v>18</v>
      </c>
      <c r="B23" s="38" t="str">
        <f>IF(Info!B23="Atlar şu ýeri","",Info!B23)</f>
        <v>Karabaýew Begli</v>
      </c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20"/>
      <c r="AB23" s="21" t="str">
        <f t="shared" si="1"/>
        <v/>
      </c>
      <c r="AC23" s="22" t="str">
        <f t="shared" si="2"/>
        <v/>
      </c>
      <c r="AD23" s="23" t="str">
        <f>IF(AC23="","","   "&amp;INDEX(Results!$W$6:$W$18,MATCH(AC23,Results!$V$6:$V$18,1)))</f>
        <v/>
      </c>
    </row>
    <row r="24" spans="1:30" x14ac:dyDescent="0.2">
      <c r="A24" s="18">
        <f t="shared" ca="1" si="0"/>
        <v>19</v>
      </c>
      <c r="B24" s="38" t="str">
        <f>IF(Info!B24="Atlar şu ýeri","",Info!B24)</f>
        <v>Kurbanow Wekil</v>
      </c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20"/>
      <c r="AB24" s="21" t="str">
        <f t="shared" si="1"/>
        <v/>
      </c>
      <c r="AC24" s="22" t="str">
        <f t="shared" si="2"/>
        <v/>
      </c>
      <c r="AD24" s="23" t="str">
        <f>IF(AC24="","","   "&amp;INDEX(Results!$W$6:$W$18,MATCH(AC24,Results!$V$6:$V$18,1)))</f>
        <v/>
      </c>
    </row>
    <row r="25" spans="1:30" x14ac:dyDescent="0.2">
      <c r="A25" s="18">
        <f t="shared" ca="1" si="0"/>
        <v>20</v>
      </c>
      <c r="B25" s="38" t="str">
        <f>IF(Info!B25="Atlar şu ýeri","",Info!B25)</f>
        <v>Madraimow Seidjan</v>
      </c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20"/>
      <c r="AB25" s="21" t="str">
        <f t="shared" si="1"/>
        <v/>
      </c>
      <c r="AC25" s="22" t="str">
        <f t="shared" si="2"/>
        <v/>
      </c>
      <c r="AD25" s="23" t="str">
        <f>IF(AC25="","","   "&amp;INDEX(Results!$W$6:$W$18,MATCH(AC25,Results!$V$6:$V$18,1)))</f>
        <v/>
      </c>
    </row>
    <row r="26" spans="1:30" x14ac:dyDescent="0.2">
      <c r="A26" s="18">
        <f t="shared" ca="1" si="0"/>
        <v>21</v>
      </c>
      <c r="B26" s="38" t="str">
        <f>IF(Info!B26="Atlar şu ýeri","",Info!B26)</f>
        <v>Matmuradowa Gulnur</v>
      </c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20"/>
      <c r="AB26" s="21" t="str">
        <f t="shared" si="1"/>
        <v/>
      </c>
      <c r="AC26" s="22" t="str">
        <f t="shared" si="2"/>
        <v/>
      </c>
      <c r="AD26" s="23" t="str">
        <f>IF(AC26="","","   "&amp;INDEX(Results!$W$6:$W$18,MATCH(AC26,Results!$V$6:$V$18,1)))</f>
        <v/>
      </c>
    </row>
    <row r="27" spans="1:30" x14ac:dyDescent="0.2">
      <c r="A27" s="18">
        <f t="shared" ca="1" si="0"/>
        <v>22</v>
      </c>
      <c r="B27" s="38" t="str">
        <f>IF(Info!B27="Atlar şu ýeri","",Info!B27)</f>
        <v>Myradowa Aýjahan</v>
      </c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20"/>
      <c r="AB27" s="21" t="str">
        <f t="shared" si="1"/>
        <v/>
      </c>
      <c r="AC27" s="22" t="str">
        <f t="shared" si="2"/>
        <v/>
      </c>
      <c r="AD27" s="23" t="str">
        <f>IF(AC27="","","   "&amp;INDEX(Results!$W$6:$W$18,MATCH(AC27,Results!$V$6:$V$18,1)))</f>
        <v/>
      </c>
    </row>
    <row r="28" spans="1:30" x14ac:dyDescent="0.2">
      <c r="A28" s="18">
        <f t="shared" ca="1" si="0"/>
        <v>23</v>
      </c>
      <c r="B28" s="38" t="str">
        <f>IF(Info!B28="Atlar şu ýeri","",Info!B28)</f>
        <v>Osmanowa Ýyldyz</v>
      </c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20"/>
      <c r="AB28" s="21" t="str">
        <f t="shared" si="1"/>
        <v/>
      </c>
      <c r="AC28" s="22" t="str">
        <f t="shared" si="2"/>
        <v/>
      </c>
      <c r="AD28" s="23" t="str">
        <f>IF(AC28="","","   "&amp;INDEX(Results!$W$6:$W$18,MATCH(AC28,Results!$V$6:$V$18,1)))</f>
        <v/>
      </c>
    </row>
    <row r="29" spans="1:30" x14ac:dyDescent="0.2">
      <c r="A29" s="18">
        <f t="shared" ca="1" si="0"/>
        <v>24</v>
      </c>
      <c r="B29" s="38" t="str">
        <f>IF(Info!B29="Atlar şu ýeri","",Info!B29)</f>
        <v>Orazowa Aýnur</v>
      </c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20"/>
      <c r="AB29" s="21" t="str">
        <f t="shared" si="1"/>
        <v/>
      </c>
      <c r="AC29" s="22" t="str">
        <f t="shared" si="2"/>
        <v/>
      </c>
      <c r="AD29" s="23" t="str">
        <f>IF(AC29="","","   "&amp;INDEX(Results!$W$6:$W$18,MATCH(AC29,Results!$V$6:$V$18,1)))</f>
        <v/>
      </c>
    </row>
    <row r="30" spans="1:30" x14ac:dyDescent="0.2">
      <c r="A30" s="18">
        <f t="shared" ca="1" si="0"/>
        <v>25</v>
      </c>
      <c r="B30" s="38" t="str">
        <f>IF(Info!B30="Atlar şu ýeri","",Info!B30)</f>
        <v>Orunowa Aýjemal</v>
      </c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20"/>
      <c r="AB30" s="21" t="str">
        <f t="shared" si="1"/>
        <v/>
      </c>
      <c r="AC30" s="22" t="str">
        <f t="shared" si="2"/>
        <v/>
      </c>
      <c r="AD30" s="23" t="str">
        <f>IF(AC30="","","   "&amp;INDEX(Results!$W$6:$W$18,MATCH(AC30,Results!$V$6:$V$18,1)))</f>
        <v/>
      </c>
    </row>
    <row r="31" spans="1:30" x14ac:dyDescent="0.2">
      <c r="A31" s="18">
        <f t="shared" ca="1" si="0"/>
        <v>26</v>
      </c>
      <c r="B31" s="38" t="str">
        <f>IF(Info!B31="Atlar şu ýeri","",Info!B31)</f>
        <v>Öwezow Döwlet</v>
      </c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20"/>
      <c r="AB31" s="21" t="str">
        <f t="shared" si="1"/>
        <v/>
      </c>
      <c r="AC31" s="22" t="str">
        <f t="shared" si="2"/>
        <v/>
      </c>
      <c r="AD31" s="23" t="str">
        <f>IF(AC31="","","   "&amp;INDEX(Results!$W$6:$W$18,MATCH(AC31,Results!$V$6:$V$18,1)))</f>
        <v/>
      </c>
    </row>
    <row r="32" spans="1:30" x14ac:dyDescent="0.2">
      <c r="A32" s="18">
        <f t="shared" ca="1" si="0"/>
        <v>27</v>
      </c>
      <c r="B32" s="38" t="str">
        <f>IF(Info!B32="Atlar şu ýeri","",Info!B32)</f>
        <v>Piriýew Aýhan</v>
      </c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20"/>
      <c r="AB32" s="21" t="str">
        <f t="shared" si="1"/>
        <v/>
      </c>
      <c r="AC32" s="22" t="str">
        <f t="shared" si="2"/>
        <v/>
      </c>
      <c r="AD32" s="23" t="str">
        <f>IF(AC32="","","   "&amp;INDEX(Results!$W$6:$W$18,MATCH(AC32,Results!$V$6:$V$18,1)))</f>
        <v/>
      </c>
    </row>
    <row r="33" spans="1:30" x14ac:dyDescent="0.2">
      <c r="A33" s="18">
        <f t="shared" ca="1" si="0"/>
        <v>28</v>
      </c>
      <c r="B33" s="38" t="str">
        <f>IF(Info!B33="Atlar şu ýeri","",Info!B33)</f>
        <v>Taganow Sanjar</v>
      </c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20"/>
      <c r="AB33" s="21" t="str">
        <f t="shared" si="1"/>
        <v/>
      </c>
      <c r="AC33" s="22" t="str">
        <f t="shared" si="2"/>
        <v/>
      </c>
      <c r="AD33" s="23" t="str">
        <f>IF(AC33="","","   "&amp;INDEX(Results!$W$6:$W$18,MATCH(AC33,Results!$V$6:$V$18,1)))</f>
        <v/>
      </c>
    </row>
    <row r="34" spans="1:30" x14ac:dyDescent="0.2">
      <c r="A34" s="18">
        <f t="shared" ca="1" si="0"/>
        <v>29</v>
      </c>
      <c r="B34" s="38" t="str">
        <f>IF(Info!B40="Atlar şu ýeri","",Info!B40)</f>
        <v/>
      </c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20"/>
      <c r="AB34" s="21"/>
      <c r="AC34" s="22"/>
      <c r="AD34" s="23"/>
    </row>
    <row r="35" spans="1:30" x14ac:dyDescent="0.2">
      <c r="A35" s="18">
        <f t="shared" ca="1" si="0"/>
        <v>30</v>
      </c>
      <c r="B35" s="38" t="str">
        <f>IF(Info!B35="Atlar şu ýeri","",Info!B35)</f>
        <v>Ýagşybaýew Muhammet</v>
      </c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20"/>
      <c r="AB35" s="21"/>
      <c r="AC35" s="22"/>
      <c r="AD35" s="23"/>
    </row>
    <row r="36" spans="1:30" ht="6.75" customHeight="1" x14ac:dyDescent="0.2">
      <c r="A36" s="18">
        <f t="shared" ca="1" si="0"/>
        <v>31</v>
      </c>
      <c r="B36" s="38" t="str">
        <f>IF(Info!B36="Atlar şu ýeri","",Info!B36)</f>
        <v>Ýazberdiýewa Söýli</v>
      </c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20"/>
      <c r="AB36" s="21"/>
      <c r="AC36" s="22"/>
      <c r="AD36" s="23"/>
    </row>
    <row r="37" spans="1:30" x14ac:dyDescent="0.2">
      <c r="A37" s="18">
        <f t="shared" ca="1" si="0"/>
        <v>32</v>
      </c>
      <c r="B37" s="38" t="str">
        <f>IF(Info!B37="Atlar şu ýeri","",Info!B37)</f>
        <v>Ýazyýewa Meňli</v>
      </c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20"/>
      <c r="AB37" s="21"/>
      <c r="AC37" s="22"/>
      <c r="AD37" s="23"/>
    </row>
    <row r="38" spans="1:30" x14ac:dyDescent="0.2">
      <c r="A38" s="18">
        <f t="shared" ca="1" si="0"/>
        <v>33</v>
      </c>
      <c r="B38" s="38" t="str">
        <f>IF(Info!B38="Atlar şu ýeri","",Info!B38)</f>
        <v>Ýunusow Ýunus</v>
      </c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20"/>
      <c r="AB38" s="21"/>
      <c r="AC38" s="22"/>
      <c r="AD38" s="23"/>
    </row>
    <row r="39" spans="1:30" x14ac:dyDescent="0.2">
      <c r="A39" s="18">
        <f t="shared" ca="1" si="0"/>
        <v>34</v>
      </c>
      <c r="B39" s="38" t="str">
        <f>IF(Info!B39="Atlar şu ýeri","",Info!B39)</f>
        <v>Ýusupowa  Jahan</v>
      </c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20"/>
      <c r="AB39" s="21"/>
      <c r="AC39" s="22"/>
      <c r="AD39" s="23"/>
    </row>
    <row r="40" spans="1:30" x14ac:dyDescent="0.2">
      <c r="A40" s="18">
        <f t="shared" ca="1" si="0"/>
        <v>35</v>
      </c>
      <c r="B40" s="38" t="str">
        <f>IF(Info!B40="Atlar şu ýeri","",Info!B40)</f>
        <v/>
      </c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20"/>
      <c r="AB40" s="21"/>
      <c r="AC40" s="22"/>
      <c r="AD40" s="23"/>
    </row>
    <row r="41" spans="1:30" x14ac:dyDescent="0.2">
      <c r="A41" s="18">
        <f t="shared" ca="1" si="0"/>
        <v>36</v>
      </c>
      <c r="B41" s="38" t="str">
        <f>IF(Info!B41="Atlar şu ýeri","",Info!B41)</f>
        <v/>
      </c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20"/>
      <c r="AB41" s="21"/>
      <c r="AC41" s="22"/>
      <c r="AD41" s="23"/>
    </row>
    <row r="42" spans="1:30" x14ac:dyDescent="0.2">
      <c r="A42" s="18">
        <f t="shared" ca="1" si="0"/>
        <v>37</v>
      </c>
      <c r="B42" s="38" t="str">
        <f>IF(Info!B42="Atlar şu ýeri","",Info!B42)</f>
        <v/>
      </c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20"/>
      <c r="AB42" s="21"/>
      <c r="AC42" s="22"/>
      <c r="AD42" s="23"/>
    </row>
    <row r="43" spans="1:30" x14ac:dyDescent="0.2">
      <c r="A43" s="18">
        <f t="shared" ca="1" si="0"/>
        <v>38</v>
      </c>
      <c r="B43" s="38" t="str">
        <f>IF(Info!B43="Atlar şu ýeri","",Info!B43)</f>
        <v/>
      </c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20"/>
      <c r="AB43" s="21"/>
      <c r="AC43" s="22"/>
      <c r="AD43" s="23"/>
    </row>
  </sheetData>
  <mergeCells count="4">
    <mergeCell ref="AB3:AB4"/>
    <mergeCell ref="AC3:AC4"/>
    <mergeCell ref="AD3:AD4"/>
    <mergeCell ref="C1:T1"/>
  </mergeCell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F49"/>
  <sheetViews>
    <sheetView workbookViewId="0">
      <selection activeCell="V26" sqref="V26"/>
    </sheetView>
  </sheetViews>
  <sheetFormatPr defaultRowHeight="12.75" x14ac:dyDescent="0.2"/>
  <cols>
    <col min="1" max="1" width="3.7109375" style="1" customWidth="1"/>
    <col min="2" max="2" width="37.42578125" style="1" bestFit="1" customWidth="1"/>
    <col min="3" max="3" width="9" style="1" bestFit="1" customWidth="1"/>
    <col min="4" max="16" width="9" style="1" customWidth="1"/>
    <col min="17" max="18" width="7.140625" style="1" customWidth="1"/>
    <col min="19" max="19" width="7.85546875" style="1" bestFit="1" customWidth="1"/>
    <col min="20" max="26" width="7.140625" style="1" customWidth="1"/>
    <col min="27" max="27" width="1.42578125" style="1" customWidth="1"/>
    <col min="28" max="28" width="7.5703125" style="1" customWidth="1"/>
    <col min="29" max="29" width="10.5703125" style="1" bestFit="1" customWidth="1"/>
    <col min="30" max="30" width="6.85546875" style="1" customWidth="1"/>
    <col min="31" max="31" width="5.28515625" style="1" customWidth="1"/>
    <col min="32" max="32" width="16.7109375" style="1" customWidth="1"/>
    <col min="33" max="16384" width="9.140625" style="1"/>
  </cols>
  <sheetData>
    <row r="1" spans="1:30" ht="19.5" x14ac:dyDescent="0.3">
      <c r="A1" s="2"/>
      <c r="B1" s="3" t="s">
        <v>153</v>
      </c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87"/>
      <c r="V1" s="87"/>
      <c r="W1" s="4"/>
      <c r="X1" s="4"/>
      <c r="Y1" s="4"/>
      <c r="Z1" s="4"/>
      <c r="AA1" s="4"/>
      <c r="AB1" s="4"/>
      <c r="AC1" s="6"/>
      <c r="AD1" s="6"/>
    </row>
    <row r="2" spans="1:30" ht="15" x14ac:dyDescent="0.25">
      <c r="A2" s="2"/>
      <c r="B2" s="7" t="s">
        <v>167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10"/>
    </row>
    <row r="3" spans="1:30" ht="42" customHeight="1" x14ac:dyDescent="0.25">
      <c r="A3" s="11"/>
      <c r="B3" s="12" t="s">
        <v>148</v>
      </c>
      <c r="C3" s="13" t="s">
        <v>124</v>
      </c>
      <c r="D3" s="13" t="s">
        <v>125</v>
      </c>
      <c r="E3" s="13" t="s">
        <v>126</v>
      </c>
      <c r="F3" s="13" t="s">
        <v>127</v>
      </c>
      <c r="G3" s="13" t="s">
        <v>128</v>
      </c>
      <c r="H3" s="13" t="s">
        <v>129</v>
      </c>
      <c r="I3" s="13" t="s">
        <v>130</v>
      </c>
      <c r="J3" s="13" t="s">
        <v>131</v>
      </c>
      <c r="K3" s="13" t="s">
        <v>132</v>
      </c>
      <c r="L3" s="13" t="s">
        <v>133</v>
      </c>
      <c r="M3" s="13" t="s">
        <v>134</v>
      </c>
      <c r="N3" s="13" t="s">
        <v>135</v>
      </c>
      <c r="O3" s="13" t="s">
        <v>136</v>
      </c>
      <c r="P3" s="13" t="s">
        <v>137</v>
      </c>
      <c r="Q3" s="13" t="s">
        <v>138</v>
      </c>
      <c r="R3" s="13" t="s">
        <v>139</v>
      </c>
      <c r="S3" s="13" t="s">
        <v>140</v>
      </c>
      <c r="T3" s="13" t="s">
        <v>141</v>
      </c>
      <c r="U3" s="13" t="s">
        <v>142</v>
      </c>
      <c r="V3" s="13" t="s">
        <v>143</v>
      </c>
      <c r="W3" s="13" t="s">
        <v>144</v>
      </c>
      <c r="X3" s="13" t="s">
        <v>145</v>
      </c>
      <c r="Y3" s="13" t="s">
        <v>146</v>
      </c>
      <c r="Z3" s="13" t="s">
        <v>147</v>
      </c>
      <c r="AA3" s="14"/>
      <c r="AB3" s="97" t="s">
        <v>156</v>
      </c>
      <c r="AC3" s="98" t="s">
        <v>157</v>
      </c>
      <c r="AD3" s="99" t="s">
        <v>158</v>
      </c>
    </row>
    <row r="4" spans="1:30" x14ac:dyDescent="0.2">
      <c r="A4" s="11"/>
      <c r="B4" s="15" t="s">
        <v>154</v>
      </c>
      <c r="C4" s="16">
        <v>5</v>
      </c>
      <c r="D4" s="16">
        <v>5</v>
      </c>
      <c r="E4" s="16">
        <v>5</v>
      </c>
      <c r="F4" s="16">
        <v>5</v>
      </c>
      <c r="G4" s="16">
        <v>5</v>
      </c>
      <c r="H4" s="16">
        <v>5</v>
      </c>
      <c r="I4" s="16">
        <v>5</v>
      </c>
      <c r="J4" s="16">
        <v>5</v>
      </c>
      <c r="K4" s="16">
        <v>5</v>
      </c>
      <c r="L4" s="16">
        <v>5</v>
      </c>
      <c r="M4" s="16">
        <v>5</v>
      </c>
      <c r="N4" s="16">
        <v>5</v>
      </c>
      <c r="O4" s="16">
        <v>5</v>
      </c>
      <c r="P4" s="16">
        <v>5</v>
      </c>
      <c r="Q4" s="16">
        <v>5</v>
      </c>
      <c r="R4" s="16">
        <v>5</v>
      </c>
      <c r="S4" s="16">
        <v>5</v>
      </c>
      <c r="T4" s="16">
        <v>5</v>
      </c>
      <c r="U4" s="16">
        <v>5</v>
      </c>
      <c r="V4" s="16">
        <v>5</v>
      </c>
      <c r="W4" s="16">
        <v>5</v>
      </c>
      <c r="X4" s="16">
        <v>5</v>
      </c>
      <c r="Y4" s="16">
        <v>5</v>
      </c>
      <c r="Z4" s="16">
        <v>5</v>
      </c>
      <c r="AA4" s="17"/>
      <c r="AB4" s="97"/>
      <c r="AC4" s="97"/>
      <c r="AD4" s="97"/>
    </row>
    <row r="5" spans="1:30" ht="6" customHeight="1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18">
        <f t="shared" ref="A6:A45" ca="1" si="0">OFFSET(A6,-1,0,1,1)+1</f>
        <v>1</v>
      </c>
      <c r="B6" s="38" t="str">
        <f>IF(Info!B6="Atlar şu ýeri","",Info!B6)</f>
        <v>Abdullaýewa Dinara</v>
      </c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20"/>
      <c r="AB6" s="21" t="str">
        <f>IF(SUM(C6:Z6)=0,"",SUMPRODUCT(C6:Z6))</f>
        <v/>
      </c>
      <c r="AC6" s="22" t="str">
        <f>IF(SUM(C6:Z6)=0,"",AB6/(SUMIF(C6:Z6,"&lt;&gt;",$C$4:$Z$4)-SUMIF(C6:Z6,"=E",$C$4:$Z$4)))</f>
        <v/>
      </c>
      <c r="AD6" s="23" t="str">
        <f>IF(AC6="","","   "&amp;INDEX(Results!$W$6:$W$18,MATCH(AC6,Results!$V$6:$V$18,1)))</f>
        <v/>
      </c>
    </row>
    <row r="7" spans="1:30" x14ac:dyDescent="0.2">
      <c r="A7" s="18">
        <f t="shared" ca="1" si="0"/>
        <v>2</v>
      </c>
      <c r="B7" s="38" t="str">
        <f>IF(Info!B7="Atlar şu ýeri","",Info!B7)</f>
        <v>Arslanow Yhlas</v>
      </c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20"/>
      <c r="AB7" s="21" t="str">
        <f t="shared" ref="AB7:AB45" si="1">IF(SUM(C7:Z7)=0,"",SUMPRODUCT(C7:Z7))</f>
        <v/>
      </c>
      <c r="AC7" s="22" t="str">
        <f t="shared" ref="AC7:AC45" si="2">IF(SUM(C7:Z7)=0,"",AB7/(SUMIF(C7:Z7,"&lt;&gt;",$C$4:$Z$4)-SUMIF(C7:Z7,"=E",$C$4:$Z$4)))</f>
        <v/>
      </c>
      <c r="AD7" s="23" t="str">
        <f>IF(AC7="","","   "&amp;INDEX(Results!$W$6:$W$18,MATCH(AC7,Results!$V$6:$V$18,1)))</f>
        <v/>
      </c>
    </row>
    <row r="8" spans="1:30" x14ac:dyDescent="0.2">
      <c r="A8" s="18">
        <f t="shared" ca="1" si="0"/>
        <v>3</v>
      </c>
      <c r="B8" s="38" t="str">
        <f>IF(Info!B8="Atlar şu ýeri","",Info!B8)</f>
        <v>Aşyrowa Maýsa</v>
      </c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20"/>
      <c r="AB8" s="21" t="str">
        <f t="shared" si="1"/>
        <v/>
      </c>
      <c r="AC8" s="22" t="str">
        <f t="shared" si="2"/>
        <v/>
      </c>
      <c r="AD8" s="23" t="str">
        <f>IF(AC8="","","   "&amp;INDEX(Results!$W$6:$W$18,MATCH(AC8,Results!$V$6:$V$18,1)))</f>
        <v/>
      </c>
    </row>
    <row r="9" spans="1:30" x14ac:dyDescent="0.2">
      <c r="A9" s="18">
        <f t="shared" ca="1" si="0"/>
        <v>4</v>
      </c>
      <c r="B9" s="38" t="str">
        <f>IF(Info!B9="Atlar şu ýeri","",Info!B9)</f>
        <v>Atabaýewa Ogulaý</v>
      </c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20"/>
      <c r="AB9" s="21" t="str">
        <f t="shared" si="1"/>
        <v/>
      </c>
      <c r="AC9" s="22" t="str">
        <f t="shared" si="2"/>
        <v/>
      </c>
      <c r="AD9" s="23" t="str">
        <f>IF(AC9="","","   "&amp;INDEX(Results!$W$6:$W$18,MATCH(AC9,Results!$V$6:$V$18,1)))</f>
        <v/>
      </c>
    </row>
    <row r="10" spans="1:30" x14ac:dyDescent="0.2">
      <c r="A10" s="18">
        <f t="shared" ca="1" si="0"/>
        <v>5</v>
      </c>
      <c r="B10" s="38" t="str">
        <f>IF(Info!B10="Atlar şu ýeri","",Info!B10)</f>
        <v>Atanazarow Meýlis</v>
      </c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20"/>
      <c r="AB10" s="21" t="str">
        <f t="shared" si="1"/>
        <v/>
      </c>
      <c r="AC10" s="22" t="str">
        <f t="shared" si="2"/>
        <v/>
      </c>
      <c r="AD10" s="23" t="str">
        <f>IF(AC10="","","   "&amp;INDEX(Results!$W$6:$W$18,MATCH(AC10,Results!$V$6:$V$18,1)))</f>
        <v/>
      </c>
    </row>
    <row r="11" spans="1:30" x14ac:dyDescent="0.2">
      <c r="A11" s="18">
        <f t="shared" ca="1" si="0"/>
        <v>6</v>
      </c>
      <c r="B11" s="38" t="str">
        <f>IF(Info!B11="Atlar şu ýeri","",Info!B11)</f>
        <v>Babajanowa Aýlar</v>
      </c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20"/>
      <c r="AB11" s="21" t="str">
        <f t="shared" si="1"/>
        <v/>
      </c>
      <c r="AC11" s="22" t="str">
        <f t="shared" si="2"/>
        <v/>
      </c>
      <c r="AD11" s="23" t="str">
        <f>IF(AC11="","","   "&amp;INDEX(Results!$W$6:$W$18,MATCH(AC11,Results!$V$6:$V$18,1)))</f>
        <v/>
      </c>
    </row>
    <row r="12" spans="1:30" x14ac:dyDescent="0.2">
      <c r="A12" s="18">
        <f t="shared" ca="1" si="0"/>
        <v>7</v>
      </c>
      <c r="B12" s="38" t="str">
        <f>IF(Info!B12="Atlar şu ýeri","",Info!B12)</f>
        <v>Babajanowa Selbi</v>
      </c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20"/>
      <c r="AB12" s="21" t="str">
        <f t="shared" si="1"/>
        <v/>
      </c>
      <c r="AC12" s="22" t="str">
        <f t="shared" si="2"/>
        <v/>
      </c>
      <c r="AD12" s="23" t="str">
        <f>IF(AC12="","","   "&amp;INDEX(Results!$W$6:$W$18,MATCH(AC12,Results!$V$6:$V$18,1)))</f>
        <v/>
      </c>
    </row>
    <row r="13" spans="1:30" x14ac:dyDescent="0.2">
      <c r="A13" s="18">
        <f t="shared" ca="1" si="0"/>
        <v>8</v>
      </c>
      <c r="B13" s="38" t="str">
        <f>IF(Info!B13="Atlar şu ýeri","",Info!B13)</f>
        <v>Ataýew Nurgeldi</v>
      </c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20"/>
      <c r="AB13" s="21" t="str">
        <f t="shared" si="1"/>
        <v/>
      </c>
      <c r="AC13" s="22" t="str">
        <f t="shared" si="2"/>
        <v/>
      </c>
      <c r="AD13" s="23" t="str">
        <f>IF(AC13="","","   "&amp;INDEX(Results!$W$6:$W$18,MATCH(AC13,Results!$V$6:$V$18,1)))</f>
        <v/>
      </c>
    </row>
    <row r="14" spans="1:30" x14ac:dyDescent="0.2">
      <c r="A14" s="18">
        <f t="shared" ca="1" si="0"/>
        <v>9</v>
      </c>
      <c r="B14" s="38" t="str">
        <f>IF(Info!B14="Atlar şu ýeri","",Info!B14)</f>
        <v>Batyrow Arafat</v>
      </c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20"/>
      <c r="AB14" s="21" t="str">
        <f t="shared" si="1"/>
        <v/>
      </c>
      <c r="AC14" s="22" t="str">
        <f t="shared" si="2"/>
        <v/>
      </c>
      <c r="AD14" s="23" t="str">
        <f>IF(AC14="","","   "&amp;INDEX(Results!$W$6:$W$18,MATCH(AC14,Results!$V$6:$V$18,1)))</f>
        <v/>
      </c>
    </row>
    <row r="15" spans="1:30" x14ac:dyDescent="0.2">
      <c r="A15" s="18">
        <f t="shared" ca="1" si="0"/>
        <v>10</v>
      </c>
      <c r="B15" s="38" t="str">
        <f>IF(Info!B15="Atlar şu ýeri","",Info!B15)</f>
        <v>Çaryýew Kemal</v>
      </c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20"/>
      <c r="AB15" s="21" t="str">
        <f t="shared" si="1"/>
        <v/>
      </c>
      <c r="AC15" s="22" t="str">
        <f t="shared" si="2"/>
        <v/>
      </c>
      <c r="AD15" s="23" t="str">
        <f>IF(AC15="","","   "&amp;INDEX(Results!$W$6:$W$18,MATCH(AC15,Results!$V$6:$V$18,1)))</f>
        <v/>
      </c>
    </row>
    <row r="16" spans="1:30" x14ac:dyDescent="0.2">
      <c r="A16" s="18">
        <f t="shared" ca="1" si="0"/>
        <v>11</v>
      </c>
      <c r="B16" s="38" t="str">
        <f>IF(Info!B16="Atlar şu ýeri","",Info!B16)</f>
        <v>Gurbanow Mekanmyrat</v>
      </c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20"/>
      <c r="AB16" s="21" t="str">
        <f t="shared" si="1"/>
        <v/>
      </c>
      <c r="AC16" s="22" t="str">
        <f t="shared" si="2"/>
        <v/>
      </c>
      <c r="AD16" s="23" t="str">
        <f>IF(AC16="","","   "&amp;INDEX(Results!$W$6:$W$18,MATCH(AC16,Results!$V$6:$V$18,1)))</f>
        <v/>
      </c>
    </row>
    <row r="17" spans="1:30" x14ac:dyDescent="0.2">
      <c r="A17" s="18">
        <f t="shared" ca="1" si="0"/>
        <v>12</v>
      </c>
      <c r="B17" s="38" t="str">
        <f>IF(Info!B17="Atlar şu ýeri","",Info!B17)</f>
        <v>Hojamuhammedow Guwanç</v>
      </c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20"/>
      <c r="AB17" s="21" t="str">
        <f t="shared" si="1"/>
        <v/>
      </c>
      <c r="AC17" s="22" t="str">
        <f t="shared" si="2"/>
        <v/>
      </c>
      <c r="AD17" s="23" t="str">
        <f>IF(AC17="","","   "&amp;INDEX(Results!$W$6:$W$18,MATCH(AC17,Results!$V$6:$V$18,1)))</f>
        <v/>
      </c>
    </row>
    <row r="18" spans="1:30" x14ac:dyDescent="0.2">
      <c r="A18" s="18">
        <f t="shared" ca="1" si="0"/>
        <v>13</v>
      </c>
      <c r="B18" s="38" t="str">
        <f>IF(Info!B18="Atlar şu ýeri","",Info!B18)</f>
        <v xml:space="preserve">Hojamämmedow  </v>
      </c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20"/>
      <c r="AB18" s="21" t="str">
        <f t="shared" si="1"/>
        <v/>
      </c>
      <c r="AC18" s="22" t="str">
        <f t="shared" si="2"/>
        <v/>
      </c>
      <c r="AD18" s="23" t="str">
        <f>IF(AC18="","","   "&amp;INDEX(Results!$W$6:$W$18,MATCH(AC18,Results!$V$6:$V$18,1)))</f>
        <v/>
      </c>
    </row>
    <row r="19" spans="1:30" x14ac:dyDescent="0.2">
      <c r="A19" s="18">
        <f t="shared" ca="1" si="0"/>
        <v>14</v>
      </c>
      <c r="B19" s="38" t="str">
        <f>IF(Info!B19="Atlar şu ýeri","",Info!B19)</f>
        <v>Hanowa Gülälek</v>
      </c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20"/>
      <c r="AB19" s="21" t="str">
        <f t="shared" si="1"/>
        <v/>
      </c>
      <c r="AC19" s="22" t="str">
        <f t="shared" si="2"/>
        <v/>
      </c>
      <c r="AD19" s="23" t="str">
        <f>IF(AC19="","","   "&amp;INDEX(Results!$W$6:$W$18,MATCH(AC19,Results!$V$6:$V$18,1)))</f>
        <v/>
      </c>
    </row>
    <row r="20" spans="1:30" x14ac:dyDescent="0.2">
      <c r="A20" s="18">
        <f t="shared" ca="1" si="0"/>
        <v>15</v>
      </c>
      <c r="B20" s="38" t="str">
        <f>IF(Info!B20="Atlar şu ýeri","",Info!B20)</f>
        <v>Husainow Serdar</v>
      </c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20"/>
      <c r="AB20" s="21" t="str">
        <f t="shared" si="1"/>
        <v/>
      </c>
      <c r="AC20" s="22" t="str">
        <f t="shared" si="2"/>
        <v/>
      </c>
      <c r="AD20" s="23" t="str">
        <f>IF(AC20="","","   "&amp;INDEX(Results!$W$6:$W$18,MATCH(AC20,Results!$V$6:$V$18,1)))</f>
        <v/>
      </c>
    </row>
    <row r="21" spans="1:30" x14ac:dyDescent="0.2">
      <c r="A21" s="18">
        <f t="shared" ca="1" si="0"/>
        <v>16</v>
      </c>
      <c r="B21" s="38" t="str">
        <f>IF(Info!B21="Atlar şu ýeri","",Info!B21)</f>
        <v>Orunowa Täçbibi</v>
      </c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20"/>
      <c r="AB21" s="21" t="str">
        <f t="shared" si="1"/>
        <v/>
      </c>
      <c r="AC21" s="22" t="str">
        <f t="shared" si="2"/>
        <v/>
      </c>
      <c r="AD21" s="23" t="str">
        <f>IF(AC21="","","   "&amp;INDEX(Results!$W$6:$W$18,MATCH(AC21,Results!$V$6:$V$18,1)))</f>
        <v/>
      </c>
    </row>
    <row r="22" spans="1:30" x14ac:dyDescent="0.2">
      <c r="A22" s="18">
        <f t="shared" ca="1" si="0"/>
        <v>17</v>
      </c>
      <c r="B22" s="38" t="str">
        <f>IF(Info!B22="Atlar şu ýeri","",Info!B22)</f>
        <v>Ilýasow Älem</v>
      </c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20"/>
      <c r="AB22" s="21" t="str">
        <f t="shared" si="1"/>
        <v/>
      </c>
      <c r="AC22" s="22" t="str">
        <f t="shared" si="2"/>
        <v/>
      </c>
      <c r="AD22" s="23" t="str">
        <f>IF(AC22="","","   "&amp;INDEX(Results!$W$6:$W$18,MATCH(AC22,Results!$V$6:$V$18,1)))</f>
        <v/>
      </c>
    </row>
    <row r="23" spans="1:30" x14ac:dyDescent="0.2">
      <c r="A23" s="18">
        <f t="shared" ca="1" si="0"/>
        <v>18</v>
      </c>
      <c r="B23" s="38" t="str">
        <f>IF(Info!B23="Atlar şu ýeri","",Info!B23)</f>
        <v>Karabaýew Begli</v>
      </c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20"/>
      <c r="AB23" s="21" t="str">
        <f t="shared" si="1"/>
        <v/>
      </c>
      <c r="AC23" s="22" t="str">
        <f t="shared" si="2"/>
        <v/>
      </c>
      <c r="AD23" s="23" t="str">
        <f>IF(AC23="","","   "&amp;INDEX(Results!$W$6:$W$18,MATCH(AC23,Results!$V$6:$V$18,1)))</f>
        <v/>
      </c>
    </row>
    <row r="24" spans="1:30" x14ac:dyDescent="0.2">
      <c r="A24" s="18">
        <f t="shared" ca="1" si="0"/>
        <v>19</v>
      </c>
      <c r="B24" s="38" t="str">
        <f>IF(Info!B24="Atlar şu ýeri","",Info!B24)</f>
        <v>Kurbanow Wekil</v>
      </c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20"/>
      <c r="AB24" s="21" t="str">
        <f t="shared" si="1"/>
        <v/>
      </c>
      <c r="AC24" s="22" t="str">
        <f t="shared" si="2"/>
        <v/>
      </c>
      <c r="AD24" s="23" t="str">
        <f>IF(AC24="","","   "&amp;INDEX(Results!$W$6:$W$18,MATCH(AC24,Results!$V$6:$V$18,1)))</f>
        <v/>
      </c>
    </row>
    <row r="25" spans="1:30" x14ac:dyDescent="0.2">
      <c r="A25" s="18">
        <f t="shared" ca="1" si="0"/>
        <v>20</v>
      </c>
      <c r="B25" s="38" t="str">
        <f>IF(Info!B25="Atlar şu ýeri","",Info!B25)</f>
        <v>Madraimow Seidjan</v>
      </c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20"/>
      <c r="AB25" s="21" t="str">
        <f t="shared" si="1"/>
        <v/>
      </c>
      <c r="AC25" s="22" t="str">
        <f t="shared" si="2"/>
        <v/>
      </c>
      <c r="AD25" s="23" t="str">
        <f>IF(AC25="","","   "&amp;INDEX(Results!$W$6:$W$18,MATCH(AC25,Results!$V$6:$V$18,1)))</f>
        <v/>
      </c>
    </row>
    <row r="26" spans="1:30" x14ac:dyDescent="0.2">
      <c r="A26" s="18">
        <f t="shared" ca="1" si="0"/>
        <v>21</v>
      </c>
      <c r="B26" s="38" t="str">
        <f>IF(Info!B26="Atlar şu ýeri","",Info!B26)</f>
        <v>Matmuradowa Gulnur</v>
      </c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20"/>
      <c r="AB26" s="21" t="str">
        <f t="shared" si="1"/>
        <v/>
      </c>
      <c r="AC26" s="22" t="str">
        <f t="shared" si="2"/>
        <v/>
      </c>
      <c r="AD26" s="23" t="str">
        <f>IF(AC26="","","   "&amp;INDEX(Results!$W$6:$W$18,MATCH(AC26,Results!$V$6:$V$18,1)))</f>
        <v/>
      </c>
    </row>
    <row r="27" spans="1:30" x14ac:dyDescent="0.2">
      <c r="A27" s="18">
        <f t="shared" ca="1" si="0"/>
        <v>22</v>
      </c>
      <c r="B27" s="38" t="str">
        <f>IF(Info!B27="Atlar şu ýeri","",Info!B27)</f>
        <v>Myradowa Aýjahan</v>
      </c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20"/>
      <c r="AB27" s="21" t="str">
        <f t="shared" si="1"/>
        <v/>
      </c>
      <c r="AC27" s="22" t="str">
        <f t="shared" si="2"/>
        <v/>
      </c>
      <c r="AD27" s="23" t="str">
        <f>IF(AC27="","","   "&amp;INDEX(Results!$W$6:$W$18,MATCH(AC27,Results!$V$6:$V$18,1)))</f>
        <v/>
      </c>
    </row>
    <row r="28" spans="1:30" x14ac:dyDescent="0.2">
      <c r="A28" s="18">
        <f t="shared" ca="1" si="0"/>
        <v>23</v>
      </c>
      <c r="B28" s="38" t="str">
        <f>IF(Info!B28="Atlar şu ýeri","",Info!B28)</f>
        <v>Osmanowa Ýyldyz</v>
      </c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20"/>
      <c r="AB28" s="21" t="str">
        <f t="shared" si="1"/>
        <v/>
      </c>
      <c r="AC28" s="22" t="str">
        <f t="shared" si="2"/>
        <v/>
      </c>
      <c r="AD28" s="23" t="str">
        <f>IF(AC28="","","   "&amp;INDEX(Results!$W$6:$W$18,MATCH(AC28,Results!$V$6:$V$18,1)))</f>
        <v/>
      </c>
    </row>
    <row r="29" spans="1:30" x14ac:dyDescent="0.2">
      <c r="A29" s="18">
        <f t="shared" ca="1" si="0"/>
        <v>24</v>
      </c>
      <c r="B29" s="38" t="str">
        <f>IF(Info!B29="Atlar şu ýeri","",Info!B29)</f>
        <v>Orazowa Aýnur</v>
      </c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20"/>
      <c r="AB29" s="21" t="str">
        <f t="shared" si="1"/>
        <v/>
      </c>
      <c r="AC29" s="22" t="str">
        <f t="shared" si="2"/>
        <v/>
      </c>
      <c r="AD29" s="23" t="str">
        <f>IF(AC29="","","   "&amp;INDEX(Results!$W$6:$W$18,MATCH(AC29,Results!$V$6:$V$18,1)))</f>
        <v/>
      </c>
    </row>
    <row r="30" spans="1:30" x14ac:dyDescent="0.2">
      <c r="A30" s="18">
        <f t="shared" ca="1" si="0"/>
        <v>25</v>
      </c>
      <c r="B30" s="38" t="str">
        <f>IF(Info!B30="Atlar şu ýeri","",Info!B30)</f>
        <v>Orunowa Aýjemal</v>
      </c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20"/>
      <c r="AB30" s="21" t="str">
        <f t="shared" si="1"/>
        <v/>
      </c>
      <c r="AC30" s="22" t="str">
        <f t="shared" si="2"/>
        <v/>
      </c>
      <c r="AD30" s="23" t="str">
        <f>IF(AC30="","","   "&amp;INDEX(Results!$W$6:$W$18,MATCH(AC30,Results!$V$6:$V$18,1)))</f>
        <v/>
      </c>
    </row>
    <row r="31" spans="1:30" x14ac:dyDescent="0.2">
      <c r="A31" s="18">
        <f t="shared" ca="1" si="0"/>
        <v>26</v>
      </c>
      <c r="B31" s="38" t="str">
        <f>IF(Info!B31="Atlar şu ýeri","",Info!B31)</f>
        <v>Öwezow Döwlet</v>
      </c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20"/>
      <c r="AB31" s="21" t="str">
        <f t="shared" si="1"/>
        <v/>
      </c>
      <c r="AC31" s="22" t="str">
        <f t="shared" si="2"/>
        <v/>
      </c>
      <c r="AD31" s="23" t="str">
        <f>IF(AC31="","","   "&amp;INDEX(Results!$W$6:$W$18,MATCH(AC31,Results!$V$6:$V$18,1)))</f>
        <v/>
      </c>
    </row>
    <row r="32" spans="1:30" x14ac:dyDescent="0.2">
      <c r="A32" s="18">
        <f t="shared" ca="1" si="0"/>
        <v>27</v>
      </c>
      <c r="B32" s="38" t="str">
        <f>IF(Info!B32="Atlar şu ýeri","",Info!B32)</f>
        <v>Piriýew Aýhan</v>
      </c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20"/>
      <c r="AB32" s="21" t="str">
        <f t="shared" si="1"/>
        <v/>
      </c>
      <c r="AC32" s="22" t="str">
        <f t="shared" si="2"/>
        <v/>
      </c>
      <c r="AD32" s="23" t="str">
        <f>IF(AC32="","","   "&amp;INDEX(Results!$W$6:$W$18,MATCH(AC32,Results!$V$6:$V$18,1)))</f>
        <v/>
      </c>
    </row>
    <row r="33" spans="1:32" x14ac:dyDescent="0.2">
      <c r="A33" s="18">
        <f t="shared" ca="1" si="0"/>
        <v>28</v>
      </c>
      <c r="B33" s="38" t="str">
        <f>IF(Info!B33="Atlar şu ýeri","",Info!B33)</f>
        <v>Taganow Sanjar</v>
      </c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20"/>
      <c r="AB33" s="21" t="str">
        <f t="shared" si="1"/>
        <v/>
      </c>
      <c r="AC33" s="22" t="str">
        <f t="shared" si="2"/>
        <v/>
      </c>
      <c r="AD33" s="23" t="str">
        <f>IF(AC33="","","   "&amp;INDEX(Results!$W$6:$W$18,MATCH(AC33,Results!$V$6:$V$18,1)))</f>
        <v/>
      </c>
    </row>
    <row r="34" spans="1:32" x14ac:dyDescent="0.2">
      <c r="A34" s="18">
        <f t="shared" ca="1" si="0"/>
        <v>29</v>
      </c>
      <c r="B34" s="38" t="str">
        <f>IF(Info!B34="Atlar şu ýeri","",Info!B34)</f>
        <v>Weliýew Öwez</v>
      </c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20"/>
      <c r="AB34" s="21" t="str">
        <f t="shared" si="1"/>
        <v/>
      </c>
      <c r="AC34" s="22" t="str">
        <f t="shared" si="2"/>
        <v/>
      </c>
      <c r="AD34" s="23" t="str">
        <f>IF(AC34="","","   "&amp;INDEX(Results!$W$6:$W$18,MATCH(AC34,Results!$V$6:$V$18,1)))</f>
        <v/>
      </c>
    </row>
    <row r="35" spans="1:32" x14ac:dyDescent="0.2">
      <c r="A35" s="18">
        <f t="shared" ca="1" si="0"/>
        <v>30</v>
      </c>
      <c r="B35" s="38" t="str">
        <f>IF(Info!B35="Atlar şu ýeri","",Info!B35)</f>
        <v>Ýagşybaýew Muhammet</v>
      </c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20"/>
      <c r="AB35" s="21" t="str">
        <f t="shared" si="1"/>
        <v/>
      </c>
      <c r="AC35" s="22" t="str">
        <f t="shared" si="2"/>
        <v/>
      </c>
      <c r="AD35" s="23" t="str">
        <f>IF(AC35="","","   "&amp;INDEX(Results!$W$6:$W$18,MATCH(AC35,Results!$V$6:$V$18,1)))</f>
        <v/>
      </c>
    </row>
    <row r="36" spans="1:32" x14ac:dyDescent="0.2">
      <c r="A36" s="18">
        <f t="shared" ca="1" si="0"/>
        <v>31</v>
      </c>
      <c r="B36" s="38" t="str">
        <f>IF(Info!B36="Atlar şu ýeri","",Info!B36)</f>
        <v>Ýazberdiýewa Söýli</v>
      </c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20"/>
      <c r="AB36" s="21" t="str">
        <f t="shared" si="1"/>
        <v/>
      </c>
      <c r="AC36" s="22" t="str">
        <f t="shared" si="2"/>
        <v/>
      </c>
      <c r="AD36" s="23" t="str">
        <f>IF(AC36="","","   "&amp;INDEX(Results!$W$6:$W$18,MATCH(AC36,Results!$V$6:$V$18,1)))</f>
        <v/>
      </c>
    </row>
    <row r="37" spans="1:32" x14ac:dyDescent="0.2">
      <c r="A37" s="18">
        <f t="shared" ca="1" si="0"/>
        <v>32</v>
      </c>
      <c r="B37" s="38" t="str">
        <f>IF(Info!B37="Atlar şu ýeri","",Info!B37)</f>
        <v>Ýazyýewa Meňli</v>
      </c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20"/>
      <c r="AB37" s="21" t="str">
        <f t="shared" si="1"/>
        <v/>
      </c>
      <c r="AC37" s="22" t="str">
        <f t="shared" si="2"/>
        <v/>
      </c>
      <c r="AD37" s="23" t="str">
        <f>IF(AC37="","","   "&amp;INDEX(Results!$W$6:$W$18,MATCH(AC37,Results!$V$6:$V$18,1)))</f>
        <v/>
      </c>
    </row>
    <row r="38" spans="1:32" x14ac:dyDescent="0.2">
      <c r="A38" s="18">
        <f t="shared" ca="1" si="0"/>
        <v>33</v>
      </c>
      <c r="B38" s="38" t="str">
        <f>IF(Info!B38="Atlar şu ýeri","",Info!B38)</f>
        <v>Ýunusow Ýunus</v>
      </c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20"/>
      <c r="AB38" s="21" t="str">
        <f t="shared" si="1"/>
        <v/>
      </c>
      <c r="AC38" s="22" t="str">
        <f t="shared" si="2"/>
        <v/>
      </c>
      <c r="AD38" s="23" t="str">
        <f>IF(AC38="","","   "&amp;INDEX(Results!$W$6:$W$18,MATCH(AC38,Results!$V$6:$V$18,1)))</f>
        <v/>
      </c>
    </row>
    <row r="39" spans="1:32" x14ac:dyDescent="0.2">
      <c r="A39" s="18">
        <f t="shared" ca="1" si="0"/>
        <v>34</v>
      </c>
      <c r="B39" s="38" t="str">
        <f>IF(Info!B39="Atlar şu ýeri","",Info!B39)</f>
        <v>Ýusupowa  Jahan</v>
      </c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20"/>
      <c r="AB39" s="21" t="str">
        <f t="shared" si="1"/>
        <v/>
      </c>
      <c r="AC39" s="22" t="str">
        <f t="shared" si="2"/>
        <v/>
      </c>
      <c r="AD39" s="23" t="str">
        <f>IF(AC39="","","   "&amp;INDEX(Results!$W$6:$W$18,MATCH(AC39,Results!$V$6:$V$18,1)))</f>
        <v/>
      </c>
    </row>
    <row r="40" spans="1:32" x14ac:dyDescent="0.2">
      <c r="A40" s="18">
        <f t="shared" ca="1" si="0"/>
        <v>35</v>
      </c>
      <c r="B40" s="38" t="str">
        <f>IF(Info!B40="Atlar şu ýeri","",Info!B40)</f>
        <v/>
      </c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20"/>
      <c r="AB40" s="21" t="str">
        <f t="shared" si="1"/>
        <v/>
      </c>
      <c r="AC40" s="22" t="str">
        <f t="shared" si="2"/>
        <v/>
      </c>
      <c r="AD40" s="23" t="str">
        <f>IF(AC40="","","   "&amp;INDEX(Results!$W$6:$W$18,MATCH(AC40,Results!$V$6:$V$18,1)))</f>
        <v/>
      </c>
    </row>
    <row r="41" spans="1:32" x14ac:dyDescent="0.2">
      <c r="A41" s="18">
        <f t="shared" ca="1" si="0"/>
        <v>36</v>
      </c>
      <c r="B41" s="38" t="str">
        <f>IF(Info!B41="Atlar şu ýeri","",Info!B41)</f>
        <v/>
      </c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20"/>
      <c r="AB41" s="21" t="str">
        <f t="shared" si="1"/>
        <v/>
      </c>
      <c r="AC41" s="22" t="str">
        <f t="shared" si="2"/>
        <v/>
      </c>
      <c r="AD41" s="23" t="str">
        <f>IF(AC41="","","   "&amp;INDEX(Results!$W$6:$W$18,MATCH(AC41,Results!$V$6:$V$18,1)))</f>
        <v/>
      </c>
    </row>
    <row r="42" spans="1:32" x14ac:dyDescent="0.2">
      <c r="A42" s="18">
        <f t="shared" ca="1" si="0"/>
        <v>37</v>
      </c>
      <c r="B42" s="38" t="str">
        <f>IF(Info!B42="Atlar şu ýeri","",Info!B42)</f>
        <v/>
      </c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20"/>
      <c r="AB42" s="21" t="str">
        <f t="shared" si="1"/>
        <v/>
      </c>
      <c r="AC42" s="22" t="str">
        <f t="shared" si="2"/>
        <v/>
      </c>
      <c r="AD42" s="23" t="str">
        <f>IF(AC42="","","   "&amp;INDEX(Results!$W$6:$W$18,MATCH(AC42,Results!$V$6:$V$18,1)))</f>
        <v/>
      </c>
    </row>
    <row r="43" spans="1:32" x14ac:dyDescent="0.2">
      <c r="A43" s="18">
        <f t="shared" ca="1" si="0"/>
        <v>38</v>
      </c>
      <c r="B43" s="38" t="str">
        <f>IF(Info!B43="Atlar şu ýeri","",Info!B43)</f>
        <v/>
      </c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20"/>
      <c r="AB43" s="21" t="str">
        <f t="shared" si="1"/>
        <v/>
      </c>
      <c r="AC43" s="22" t="str">
        <f t="shared" si="2"/>
        <v/>
      </c>
      <c r="AD43" s="23" t="str">
        <f>IF(AC43="","","   "&amp;INDEX(Results!$W$6:$W$18,MATCH(AC43,Results!$V$6:$V$18,1)))</f>
        <v/>
      </c>
    </row>
    <row r="44" spans="1:32" x14ac:dyDescent="0.2">
      <c r="A44" s="18">
        <f t="shared" ca="1" si="0"/>
        <v>39</v>
      </c>
      <c r="B44" s="38" t="str">
        <f>IF(Info!B44="Atlar şu ýeri","",Info!B44)</f>
        <v/>
      </c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20"/>
      <c r="AB44" s="21" t="str">
        <f t="shared" si="1"/>
        <v/>
      </c>
      <c r="AC44" s="22" t="str">
        <f t="shared" si="2"/>
        <v/>
      </c>
      <c r="AD44" s="23" t="str">
        <f>IF(AC44="","","   "&amp;INDEX(Results!$W$6:$W$18,MATCH(AC44,Results!$V$6:$V$18,1)))</f>
        <v/>
      </c>
    </row>
    <row r="45" spans="1:32" x14ac:dyDescent="0.2">
      <c r="A45" s="18">
        <f t="shared" ca="1" si="0"/>
        <v>40</v>
      </c>
      <c r="B45" s="38" t="str">
        <f>IF(Info!B45="Atlar şu ýeri","",Info!B45)</f>
        <v/>
      </c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20"/>
      <c r="AB45" s="21" t="str">
        <f t="shared" si="1"/>
        <v/>
      </c>
      <c r="AC45" s="22" t="str">
        <f t="shared" si="2"/>
        <v/>
      </c>
      <c r="AD45" s="23" t="str">
        <f>IF(AC45="","","   "&amp;INDEX(Results!$W$6:$W$18,MATCH(AC45,Results!$V$6:$V$18,1)))</f>
        <v/>
      </c>
    </row>
    <row r="46" spans="1:32" x14ac:dyDescent="0.2">
      <c r="A46" s="24" t="s">
        <v>0</v>
      </c>
      <c r="B46" s="25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96">
        <v>1</v>
      </c>
      <c r="AA46" s="27"/>
      <c r="AB46" s="28"/>
      <c r="AC46" s="29"/>
      <c r="AD46" s="30"/>
    </row>
    <row r="47" spans="1:32" x14ac:dyDescent="0.2">
      <c r="A47" s="2"/>
      <c r="B47" s="31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AA47" s="27"/>
      <c r="AB47" s="33" t="s">
        <v>155</v>
      </c>
      <c r="AC47" s="34" t="e">
        <f>AVERAGE(AC6:AC46)</f>
        <v>#DIV/0!</v>
      </c>
      <c r="AD47" s="35" t="e">
        <f>IF(AC47="","",INDEX(Results!$W$6:$W$18,MATCH(AC47,Results!$V$6:$V$18,1)))</f>
        <v>#DIV/0!</v>
      </c>
      <c r="AF47" s="36"/>
    </row>
    <row r="48" spans="1:32" x14ac:dyDescent="0.2">
      <c r="A48" s="2"/>
      <c r="B48" s="31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27"/>
      <c r="AB48" s="90"/>
      <c r="AC48" s="91"/>
      <c r="AD48" s="92"/>
      <c r="AF48" s="36"/>
    </row>
    <row r="49" spans="1:30" x14ac:dyDescent="0.2">
      <c r="A49" s="2"/>
      <c r="B49" s="37"/>
      <c r="C49" s="32"/>
      <c r="D49" s="32"/>
      <c r="E49" s="32"/>
      <c r="F49" s="32"/>
      <c r="G49" s="32"/>
      <c r="H49" s="32"/>
      <c r="I49" s="93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27"/>
      <c r="AB49" s="2"/>
      <c r="AC49" s="2"/>
      <c r="AD49" s="2"/>
    </row>
  </sheetData>
  <mergeCells count="4">
    <mergeCell ref="AB3:AB4"/>
    <mergeCell ref="AC3:AC4"/>
    <mergeCell ref="AD3:AD4"/>
    <mergeCell ref="C1:T1"/>
  </mergeCell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/>
  <headerFooter alignWithMargins="0"/>
  <drawing r:id="rId1"/>
  <legacyDrawing r:id="rId2"/>
  <controls>
    <mc:AlternateContent xmlns:mc="http://schemas.openxmlformats.org/markup-compatibility/2006">
      <mc:Choice Requires="x14">
        <control shapeId="18433" r:id="rId3" name="CommandButton1">
          <controlPr defaultSize="0" autoLine="0" r:id="rId4">
            <anchor moveWithCells="1">
              <from>
                <xdr:col>31</xdr:col>
                <xdr:colOff>19050</xdr:colOff>
                <xdr:row>1</xdr:row>
                <xdr:rowOff>19050</xdr:rowOff>
              </from>
              <to>
                <xdr:col>32</xdr:col>
                <xdr:colOff>57150</xdr:colOff>
                <xdr:row>2</xdr:row>
                <xdr:rowOff>495300</xdr:rowOff>
              </to>
            </anchor>
          </controlPr>
        </control>
      </mc:Choice>
      <mc:Fallback>
        <control shapeId="18433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D43"/>
  <sheetViews>
    <sheetView workbookViewId="0">
      <selection activeCell="N19" sqref="N19"/>
    </sheetView>
  </sheetViews>
  <sheetFormatPr defaultRowHeight="12.75" x14ac:dyDescent="0.2"/>
  <cols>
    <col min="1" max="1" width="3.7109375" style="1" customWidth="1"/>
    <col min="2" max="2" width="38" style="1" bestFit="1" customWidth="1"/>
    <col min="3" max="16" width="7.140625" style="1" customWidth="1"/>
    <col min="17" max="17" width="1.42578125" style="1" customWidth="1"/>
    <col min="18" max="19" width="7.5703125" style="1" customWidth="1"/>
    <col min="20" max="20" width="6.85546875" style="1" customWidth="1"/>
    <col min="21" max="21" width="5.28515625" style="1" customWidth="1"/>
    <col min="22" max="22" width="16.7109375" style="1" customWidth="1"/>
    <col min="23" max="16384" width="9.140625" style="1"/>
  </cols>
  <sheetData>
    <row r="1" spans="1:30" ht="19.5" x14ac:dyDescent="0.3">
      <c r="A1" s="2"/>
      <c r="B1" s="3" t="s">
        <v>56</v>
      </c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87"/>
      <c r="V1" s="87"/>
      <c r="W1" s="4"/>
      <c r="X1" s="4"/>
      <c r="Y1" s="4"/>
      <c r="Z1" s="4"/>
      <c r="AA1" s="4"/>
      <c r="AB1" s="4"/>
      <c r="AC1" s="6"/>
      <c r="AD1" s="6"/>
    </row>
    <row r="2" spans="1:30" ht="15" x14ac:dyDescent="0.25">
      <c r="A2" s="2"/>
      <c r="B2" s="7" t="s">
        <v>7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10"/>
    </row>
    <row r="3" spans="1:30" ht="42" customHeight="1" x14ac:dyDescent="0.25">
      <c r="A3" s="11"/>
      <c r="B3" s="12" t="s">
        <v>14</v>
      </c>
      <c r="C3" s="13" t="s">
        <v>15</v>
      </c>
      <c r="D3" s="13" t="s">
        <v>16</v>
      </c>
      <c r="E3" s="13" t="s">
        <v>17</v>
      </c>
      <c r="F3" s="13" t="s">
        <v>18</v>
      </c>
      <c r="G3" s="13" t="s">
        <v>19</v>
      </c>
      <c r="H3" s="13" t="s">
        <v>20</v>
      </c>
      <c r="I3" s="13" t="s">
        <v>21</v>
      </c>
      <c r="J3" s="13" t="s">
        <v>22</v>
      </c>
      <c r="K3" s="13" t="s">
        <v>23</v>
      </c>
      <c r="L3" s="13" t="s">
        <v>24</v>
      </c>
      <c r="M3" s="13" t="s">
        <v>25</v>
      </c>
      <c r="N3" s="13" t="s">
        <v>26</v>
      </c>
      <c r="O3" s="13" t="s">
        <v>27</v>
      </c>
      <c r="P3" s="13" t="s">
        <v>28</v>
      </c>
      <c r="Q3" s="13" t="s">
        <v>46</v>
      </c>
      <c r="R3" s="13" t="s">
        <v>47</v>
      </c>
      <c r="S3" s="13" t="s">
        <v>48</v>
      </c>
      <c r="T3" s="13" t="s">
        <v>49</v>
      </c>
      <c r="U3" s="13" t="s">
        <v>50</v>
      </c>
      <c r="V3" s="13" t="s">
        <v>51</v>
      </c>
      <c r="W3" s="13" t="s">
        <v>52</v>
      </c>
      <c r="X3" s="13" t="s">
        <v>53</v>
      </c>
      <c r="Y3" s="13" t="s">
        <v>54</v>
      </c>
      <c r="Z3" s="13" t="s">
        <v>55</v>
      </c>
      <c r="AA3" s="14"/>
      <c r="AB3" s="97" t="s">
        <v>29</v>
      </c>
      <c r="AC3" s="98" t="s">
        <v>36</v>
      </c>
      <c r="AD3" s="99" t="s">
        <v>35</v>
      </c>
    </row>
    <row r="4" spans="1:30" x14ac:dyDescent="0.2">
      <c r="A4" s="11"/>
      <c r="B4" s="15" t="s">
        <v>30</v>
      </c>
      <c r="C4" s="16">
        <v>5</v>
      </c>
      <c r="D4" s="16">
        <v>5</v>
      </c>
      <c r="E4" s="16">
        <v>5</v>
      </c>
      <c r="F4" s="16">
        <v>5</v>
      </c>
      <c r="G4" s="16">
        <v>5</v>
      </c>
      <c r="H4" s="16">
        <v>5</v>
      </c>
      <c r="I4" s="16">
        <v>5</v>
      </c>
      <c r="J4" s="16">
        <v>5</v>
      </c>
      <c r="K4" s="16">
        <v>5</v>
      </c>
      <c r="L4" s="16">
        <v>5</v>
      </c>
      <c r="M4" s="16">
        <v>5</v>
      </c>
      <c r="N4" s="16">
        <v>5</v>
      </c>
      <c r="O4" s="16">
        <v>5</v>
      </c>
      <c r="P4" s="16">
        <v>5</v>
      </c>
      <c r="Q4" s="16">
        <v>5</v>
      </c>
      <c r="R4" s="16">
        <v>5</v>
      </c>
      <c r="S4" s="16">
        <v>5</v>
      </c>
      <c r="T4" s="16">
        <v>5</v>
      </c>
      <c r="U4" s="16">
        <v>5</v>
      </c>
      <c r="V4" s="16">
        <v>5</v>
      </c>
      <c r="W4" s="16">
        <v>5</v>
      </c>
      <c r="X4" s="16">
        <v>5</v>
      </c>
      <c r="Y4" s="16">
        <v>5</v>
      </c>
      <c r="Z4" s="16">
        <v>5</v>
      </c>
      <c r="AA4" s="17"/>
      <c r="AB4" s="97"/>
      <c r="AC4" s="97"/>
      <c r="AD4" s="97"/>
    </row>
    <row r="5" spans="1:30" ht="6" customHeight="1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18">
        <f t="shared" ref="A6:A43" ca="1" si="0">OFFSET(A6,-1,0,1,1)+1</f>
        <v>1</v>
      </c>
      <c r="B6" s="38" t="str">
        <f>IF(Info!B6="Atlar şu ýeri","",Info!B6)</f>
        <v>Abdullaýewa Dinara</v>
      </c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20"/>
      <c r="AB6" s="21" t="str">
        <f t="shared" ref="AB6:AB33" si="1">IF(SUM(C6:Z6)=0,"",SUMPRODUCT(C6:Z6))</f>
        <v/>
      </c>
      <c r="AC6" s="22" t="str">
        <f t="shared" ref="AC6:AC33" si="2">IF(SUM(C6:Z6)=0,"",AB6/(SUMIF(C6:Z6,"&lt;&gt;",$C$4:$Z$4)-SUMIF(C6:Z6,"=E",$C$4:$Z$4)))</f>
        <v/>
      </c>
      <c r="AD6" s="23" t="str">
        <f>IF(AC6="","","   "&amp;INDEX(Results!$W$6:$W$18,MATCH(AC6,Results!$V$6:$V$18,1)))</f>
        <v/>
      </c>
    </row>
    <row r="7" spans="1:30" x14ac:dyDescent="0.2">
      <c r="A7" s="18">
        <f t="shared" ca="1" si="0"/>
        <v>2</v>
      </c>
      <c r="B7" s="38" t="str">
        <f>IF(Info!B7="Atlar şu ýeri","",Info!B7)</f>
        <v>Arslanow Yhlas</v>
      </c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20"/>
      <c r="AB7" s="21" t="str">
        <f t="shared" si="1"/>
        <v/>
      </c>
      <c r="AC7" s="22" t="str">
        <f t="shared" si="2"/>
        <v/>
      </c>
      <c r="AD7" s="23" t="str">
        <f>IF(AC7="","","   "&amp;INDEX(Results!$W$6:$W$18,MATCH(AC7,Results!$V$6:$V$18,1)))</f>
        <v/>
      </c>
    </row>
    <row r="8" spans="1:30" x14ac:dyDescent="0.2">
      <c r="A8" s="18">
        <f t="shared" ca="1" si="0"/>
        <v>3</v>
      </c>
      <c r="B8" s="38" t="str">
        <f>IF(Info!B8="Atlar şu ýeri","",Info!B8)</f>
        <v>Aşyrowa Maýsa</v>
      </c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20"/>
      <c r="AB8" s="21" t="str">
        <f t="shared" si="1"/>
        <v/>
      </c>
      <c r="AC8" s="22" t="str">
        <f t="shared" si="2"/>
        <v/>
      </c>
      <c r="AD8" s="23" t="str">
        <f>IF(AC8="","","   "&amp;INDEX(Results!$W$6:$W$18,MATCH(AC8,Results!$V$6:$V$18,1)))</f>
        <v/>
      </c>
    </row>
    <row r="9" spans="1:30" x14ac:dyDescent="0.2">
      <c r="A9" s="18">
        <f t="shared" ca="1" si="0"/>
        <v>4</v>
      </c>
      <c r="B9" s="38" t="str">
        <f>IF(Info!B9="Atlar şu ýeri","",Info!B9)</f>
        <v>Atabaýewa Ogulaý</v>
      </c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20"/>
      <c r="AB9" s="21" t="str">
        <f t="shared" si="1"/>
        <v/>
      </c>
      <c r="AC9" s="22" t="str">
        <f t="shared" si="2"/>
        <v/>
      </c>
      <c r="AD9" s="23" t="str">
        <f>IF(AC9="","","   "&amp;INDEX(Results!$W$6:$W$18,MATCH(AC9,Results!$V$6:$V$18,1)))</f>
        <v/>
      </c>
    </row>
    <row r="10" spans="1:30" x14ac:dyDescent="0.2">
      <c r="A10" s="18">
        <f t="shared" ca="1" si="0"/>
        <v>5</v>
      </c>
      <c r="B10" s="38" t="str">
        <f>IF(Info!B10="Atlar şu ýeri","",Info!B10)</f>
        <v>Atanazarow Meýlis</v>
      </c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20"/>
      <c r="AB10" s="21" t="str">
        <f t="shared" si="1"/>
        <v/>
      </c>
      <c r="AC10" s="22" t="str">
        <f t="shared" si="2"/>
        <v/>
      </c>
      <c r="AD10" s="23" t="str">
        <f>IF(AC10="","","   "&amp;INDEX(Results!$W$6:$W$18,MATCH(AC10,Results!$V$6:$V$18,1)))</f>
        <v/>
      </c>
    </row>
    <row r="11" spans="1:30" x14ac:dyDescent="0.2">
      <c r="A11" s="18">
        <f t="shared" ca="1" si="0"/>
        <v>6</v>
      </c>
      <c r="B11" s="38" t="str">
        <f>IF(Info!B11="Atlar şu ýeri","",Info!B11)</f>
        <v>Babajanowa Aýlar</v>
      </c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20"/>
      <c r="AB11" s="21" t="str">
        <f t="shared" si="1"/>
        <v/>
      </c>
      <c r="AC11" s="22" t="str">
        <f t="shared" si="2"/>
        <v/>
      </c>
      <c r="AD11" s="23" t="str">
        <f>IF(AC11="","","   "&amp;INDEX(Results!$W$6:$W$18,MATCH(AC11,Results!$V$6:$V$18,1)))</f>
        <v/>
      </c>
    </row>
    <row r="12" spans="1:30" x14ac:dyDescent="0.2">
      <c r="A12" s="18">
        <f t="shared" ca="1" si="0"/>
        <v>7</v>
      </c>
      <c r="B12" s="38" t="str">
        <f>IF(Info!B12="Atlar şu ýeri","",Info!B12)</f>
        <v>Babajanowa Selbi</v>
      </c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20"/>
      <c r="AB12" s="21" t="str">
        <f t="shared" si="1"/>
        <v/>
      </c>
      <c r="AC12" s="22" t="str">
        <f t="shared" si="2"/>
        <v/>
      </c>
      <c r="AD12" s="23" t="str">
        <f>IF(AC12="","","   "&amp;INDEX(Results!$W$6:$W$18,MATCH(AC12,Results!$V$6:$V$18,1)))</f>
        <v/>
      </c>
    </row>
    <row r="13" spans="1:30" x14ac:dyDescent="0.2">
      <c r="A13" s="18">
        <f t="shared" ca="1" si="0"/>
        <v>8</v>
      </c>
      <c r="B13" s="38" t="str">
        <f>IF(Info!B13="Atlar şu ýeri","",Info!B13)</f>
        <v>Ataýew Nurgeldi</v>
      </c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20"/>
      <c r="AB13" s="21" t="str">
        <f t="shared" si="1"/>
        <v/>
      </c>
      <c r="AC13" s="22" t="str">
        <f t="shared" si="2"/>
        <v/>
      </c>
      <c r="AD13" s="23" t="str">
        <f>IF(AC13="","","   "&amp;INDEX(Results!$W$6:$W$18,MATCH(AC13,Results!$V$6:$V$18,1)))</f>
        <v/>
      </c>
    </row>
    <row r="14" spans="1:30" x14ac:dyDescent="0.2">
      <c r="A14" s="18">
        <f t="shared" ca="1" si="0"/>
        <v>9</v>
      </c>
      <c r="B14" s="38" t="str">
        <f>IF(Info!B14="Atlar şu ýeri","",Info!B14)</f>
        <v>Batyrow Arafat</v>
      </c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20"/>
      <c r="AB14" s="21" t="str">
        <f t="shared" si="1"/>
        <v/>
      </c>
      <c r="AC14" s="22" t="str">
        <f t="shared" si="2"/>
        <v/>
      </c>
      <c r="AD14" s="23" t="str">
        <f>IF(AC14="","","   "&amp;INDEX(Results!$W$6:$W$18,MATCH(AC14,Results!$V$6:$V$18,1)))</f>
        <v/>
      </c>
    </row>
    <row r="15" spans="1:30" x14ac:dyDescent="0.2">
      <c r="A15" s="18">
        <f t="shared" ca="1" si="0"/>
        <v>10</v>
      </c>
      <c r="B15" s="38" t="str">
        <f>IF(Info!B15="Atlar şu ýeri","",Info!B15)</f>
        <v>Çaryýew Kemal</v>
      </c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20"/>
      <c r="AB15" s="21" t="str">
        <f t="shared" si="1"/>
        <v/>
      </c>
      <c r="AC15" s="22" t="str">
        <f t="shared" si="2"/>
        <v/>
      </c>
      <c r="AD15" s="23" t="str">
        <f>IF(AC15="","","   "&amp;INDEX(Results!$W$6:$W$18,MATCH(AC15,Results!$V$6:$V$18,1)))</f>
        <v/>
      </c>
    </row>
    <row r="16" spans="1:30" x14ac:dyDescent="0.2">
      <c r="A16" s="18">
        <f t="shared" ca="1" si="0"/>
        <v>11</v>
      </c>
      <c r="B16" s="38" t="str">
        <f>IF(Info!B16="Atlar şu ýeri","",Info!B16)</f>
        <v>Gurbanow Mekanmyrat</v>
      </c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20"/>
      <c r="AB16" s="21" t="str">
        <f t="shared" si="1"/>
        <v/>
      </c>
      <c r="AC16" s="22" t="str">
        <f t="shared" si="2"/>
        <v/>
      </c>
      <c r="AD16" s="23" t="str">
        <f>IF(AC16="","","   "&amp;INDEX(Results!$W$6:$W$18,MATCH(AC16,Results!$V$6:$V$18,1)))</f>
        <v/>
      </c>
    </row>
    <row r="17" spans="1:30" x14ac:dyDescent="0.2">
      <c r="A17" s="18">
        <f t="shared" ca="1" si="0"/>
        <v>12</v>
      </c>
      <c r="B17" s="38" t="str">
        <f>IF(Info!B17="Atlar şu ýeri","",Info!B17)</f>
        <v>Hojamuhammedow Guwanç</v>
      </c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20"/>
      <c r="AB17" s="21" t="str">
        <f t="shared" si="1"/>
        <v/>
      </c>
      <c r="AC17" s="22" t="str">
        <f t="shared" si="2"/>
        <v/>
      </c>
      <c r="AD17" s="23" t="str">
        <f>IF(AC17="","","   "&amp;INDEX(Results!$W$6:$W$18,MATCH(AC17,Results!$V$6:$V$18,1)))</f>
        <v/>
      </c>
    </row>
    <row r="18" spans="1:30" x14ac:dyDescent="0.2">
      <c r="A18" s="18">
        <f t="shared" ca="1" si="0"/>
        <v>13</v>
      </c>
      <c r="B18" s="38" t="str">
        <f>IF(Info!B18="Atlar şu ýeri","",Info!B18)</f>
        <v xml:space="preserve">Hojamämmedow  </v>
      </c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20"/>
      <c r="AB18" s="21" t="str">
        <f t="shared" si="1"/>
        <v/>
      </c>
      <c r="AC18" s="22" t="str">
        <f t="shared" si="2"/>
        <v/>
      </c>
      <c r="AD18" s="23" t="str">
        <f>IF(AC18="","","   "&amp;INDEX(Results!$W$6:$W$18,MATCH(AC18,Results!$V$6:$V$18,1)))</f>
        <v/>
      </c>
    </row>
    <row r="19" spans="1:30" x14ac:dyDescent="0.2">
      <c r="A19" s="18">
        <f t="shared" ca="1" si="0"/>
        <v>14</v>
      </c>
      <c r="B19" s="38" t="str">
        <f>IF(Info!B19="Atlar şu ýeri","",Info!B19)</f>
        <v>Hanowa Gülälek</v>
      </c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20"/>
      <c r="AB19" s="21" t="str">
        <f t="shared" si="1"/>
        <v/>
      </c>
      <c r="AC19" s="22" t="str">
        <f t="shared" si="2"/>
        <v/>
      </c>
      <c r="AD19" s="23" t="str">
        <f>IF(AC19="","","   "&amp;INDEX(Results!$W$6:$W$18,MATCH(AC19,Results!$V$6:$V$18,1)))</f>
        <v/>
      </c>
    </row>
    <row r="20" spans="1:30" x14ac:dyDescent="0.2">
      <c r="A20" s="18">
        <f t="shared" ca="1" si="0"/>
        <v>15</v>
      </c>
      <c r="B20" s="38" t="str">
        <f>IF(Info!B20="Atlar şu ýeri","",Info!B20)</f>
        <v>Husainow Serdar</v>
      </c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20"/>
      <c r="AB20" s="21" t="str">
        <f t="shared" si="1"/>
        <v/>
      </c>
      <c r="AC20" s="22" t="str">
        <f t="shared" si="2"/>
        <v/>
      </c>
      <c r="AD20" s="23" t="str">
        <f>IF(AC20="","","   "&amp;INDEX(Results!$W$6:$W$18,MATCH(AC20,Results!$V$6:$V$18,1)))</f>
        <v/>
      </c>
    </row>
    <row r="21" spans="1:30" x14ac:dyDescent="0.2">
      <c r="A21" s="18">
        <f t="shared" ca="1" si="0"/>
        <v>16</v>
      </c>
      <c r="B21" s="38" t="str">
        <f>IF(Info!B21="Atlar şu ýeri","",Info!B21)</f>
        <v>Orunowa Täçbibi</v>
      </c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20"/>
      <c r="AB21" s="21" t="str">
        <f t="shared" si="1"/>
        <v/>
      </c>
      <c r="AC21" s="22" t="str">
        <f t="shared" si="2"/>
        <v/>
      </c>
      <c r="AD21" s="23" t="str">
        <f>IF(AC21="","","   "&amp;INDEX(Results!$W$6:$W$18,MATCH(AC21,Results!$V$6:$V$18,1)))</f>
        <v/>
      </c>
    </row>
    <row r="22" spans="1:30" x14ac:dyDescent="0.2">
      <c r="A22" s="18">
        <f t="shared" ca="1" si="0"/>
        <v>17</v>
      </c>
      <c r="B22" s="38" t="str">
        <f>IF(Info!B22="Atlar şu ýeri","",Info!B22)</f>
        <v>Ilýasow Älem</v>
      </c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20"/>
      <c r="AB22" s="21" t="str">
        <f t="shared" si="1"/>
        <v/>
      </c>
      <c r="AC22" s="22" t="str">
        <f t="shared" si="2"/>
        <v/>
      </c>
      <c r="AD22" s="23" t="str">
        <f>IF(AC22="","","   "&amp;INDEX(Results!$W$6:$W$18,MATCH(AC22,Results!$V$6:$V$18,1)))</f>
        <v/>
      </c>
    </row>
    <row r="23" spans="1:30" x14ac:dyDescent="0.2">
      <c r="A23" s="18">
        <f t="shared" ca="1" si="0"/>
        <v>18</v>
      </c>
      <c r="B23" s="38" t="str">
        <f>IF(Info!B23="Atlar şu ýeri","",Info!B23)</f>
        <v>Karabaýew Begli</v>
      </c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20"/>
      <c r="AB23" s="21" t="str">
        <f t="shared" si="1"/>
        <v/>
      </c>
      <c r="AC23" s="22" t="str">
        <f t="shared" si="2"/>
        <v/>
      </c>
      <c r="AD23" s="23" t="str">
        <f>IF(AC23="","","   "&amp;INDEX(Results!$W$6:$W$18,MATCH(AC23,Results!$V$6:$V$18,1)))</f>
        <v/>
      </c>
    </row>
    <row r="24" spans="1:30" x14ac:dyDescent="0.2">
      <c r="A24" s="18">
        <f t="shared" ca="1" si="0"/>
        <v>19</v>
      </c>
      <c r="B24" s="38" t="str">
        <f>IF(Info!B24="Atlar şu ýeri","",Info!B24)</f>
        <v>Kurbanow Wekil</v>
      </c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20"/>
      <c r="AB24" s="21" t="str">
        <f t="shared" si="1"/>
        <v/>
      </c>
      <c r="AC24" s="22" t="str">
        <f t="shared" si="2"/>
        <v/>
      </c>
      <c r="AD24" s="23" t="str">
        <f>IF(AC24="","","   "&amp;INDEX(Results!$W$6:$W$18,MATCH(AC24,Results!$V$6:$V$18,1)))</f>
        <v/>
      </c>
    </row>
    <row r="25" spans="1:30" x14ac:dyDescent="0.2">
      <c r="A25" s="18">
        <f t="shared" ca="1" si="0"/>
        <v>20</v>
      </c>
      <c r="B25" s="38" t="str">
        <f>IF(Info!B25="Atlar şu ýeri","",Info!B25)</f>
        <v>Madraimow Seidjan</v>
      </c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20"/>
      <c r="AB25" s="21" t="str">
        <f t="shared" si="1"/>
        <v/>
      </c>
      <c r="AC25" s="22" t="str">
        <f t="shared" si="2"/>
        <v/>
      </c>
      <c r="AD25" s="23" t="str">
        <f>IF(AC25="","","   "&amp;INDEX(Results!$W$6:$W$18,MATCH(AC25,Results!$V$6:$V$18,1)))</f>
        <v/>
      </c>
    </row>
    <row r="26" spans="1:30" x14ac:dyDescent="0.2">
      <c r="A26" s="18">
        <f t="shared" ca="1" si="0"/>
        <v>21</v>
      </c>
      <c r="B26" s="38" t="str">
        <f>IF(Info!B26="Atlar şu ýeri","",Info!B26)</f>
        <v>Matmuradowa Gulnur</v>
      </c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20"/>
      <c r="AB26" s="21" t="str">
        <f t="shared" si="1"/>
        <v/>
      </c>
      <c r="AC26" s="22" t="str">
        <f t="shared" si="2"/>
        <v/>
      </c>
      <c r="AD26" s="23" t="str">
        <f>IF(AC26="","","   "&amp;INDEX(Results!$W$6:$W$18,MATCH(AC26,Results!$V$6:$V$18,1)))</f>
        <v/>
      </c>
    </row>
    <row r="27" spans="1:30" x14ac:dyDescent="0.2">
      <c r="A27" s="18">
        <f t="shared" ca="1" si="0"/>
        <v>22</v>
      </c>
      <c r="B27" s="38" t="str">
        <f>IF(Info!B27="Atlar şu ýeri","",Info!B27)</f>
        <v>Myradowa Aýjahan</v>
      </c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20"/>
      <c r="AB27" s="21" t="str">
        <f t="shared" si="1"/>
        <v/>
      </c>
      <c r="AC27" s="22" t="str">
        <f t="shared" si="2"/>
        <v/>
      </c>
      <c r="AD27" s="23" t="str">
        <f>IF(AC27="","","   "&amp;INDEX(Results!$W$6:$W$18,MATCH(AC27,Results!$V$6:$V$18,1)))</f>
        <v/>
      </c>
    </row>
    <row r="28" spans="1:30" x14ac:dyDescent="0.2">
      <c r="A28" s="18">
        <f t="shared" ca="1" si="0"/>
        <v>23</v>
      </c>
      <c r="B28" s="38" t="str">
        <f>IF(Info!B28="Atlar şu ýeri","",Info!B28)</f>
        <v>Osmanowa Ýyldyz</v>
      </c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20"/>
      <c r="AB28" s="21" t="str">
        <f t="shared" si="1"/>
        <v/>
      </c>
      <c r="AC28" s="22" t="str">
        <f t="shared" si="2"/>
        <v/>
      </c>
      <c r="AD28" s="23" t="str">
        <f>IF(AC28="","","   "&amp;INDEX(Results!$W$6:$W$18,MATCH(AC28,Results!$V$6:$V$18,1)))</f>
        <v/>
      </c>
    </row>
    <row r="29" spans="1:30" x14ac:dyDescent="0.2">
      <c r="A29" s="18">
        <f t="shared" ca="1" si="0"/>
        <v>24</v>
      </c>
      <c r="B29" s="38" t="str">
        <f>IF(Info!B29="Atlar şu ýeri","",Info!B29)</f>
        <v>Orazowa Aýnur</v>
      </c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20"/>
      <c r="AB29" s="21" t="str">
        <f t="shared" si="1"/>
        <v/>
      </c>
      <c r="AC29" s="22" t="str">
        <f t="shared" si="2"/>
        <v/>
      </c>
      <c r="AD29" s="23" t="str">
        <f>IF(AC29="","","   "&amp;INDEX(Results!$W$6:$W$18,MATCH(AC29,Results!$V$6:$V$18,1)))</f>
        <v/>
      </c>
    </row>
    <row r="30" spans="1:30" x14ac:dyDescent="0.2">
      <c r="A30" s="18">
        <f t="shared" ca="1" si="0"/>
        <v>25</v>
      </c>
      <c r="B30" s="38" t="str">
        <f>IF(Info!B30="Atlar şu ýeri","",Info!B30)</f>
        <v>Orunowa Aýjemal</v>
      </c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20"/>
      <c r="AB30" s="21" t="str">
        <f t="shared" si="1"/>
        <v/>
      </c>
      <c r="AC30" s="22" t="str">
        <f t="shared" si="2"/>
        <v/>
      </c>
      <c r="AD30" s="23" t="str">
        <f>IF(AC30="","","   "&amp;INDEX(Results!$W$6:$W$18,MATCH(AC30,Results!$V$6:$V$18,1)))</f>
        <v/>
      </c>
    </row>
    <row r="31" spans="1:30" x14ac:dyDescent="0.2">
      <c r="A31" s="18">
        <f t="shared" ca="1" si="0"/>
        <v>26</v>
      </c>
      <c r="B31" s="38" t="str">
        <f>IF(Info!B31="Atlar şu ýeri","",Info!B31)</f>
        <v>Öwezow Döwlet</v>
      </c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20"/>
      <c r="AB31" s="21" t="str">
        <f t="shared" si="1"/>
        <v/>
      </c>
      <c r="AC31" s="22" t="str">
        <f t="shared" si="2"/>
        <v/>
      </c>
      <c r="AD31" s="23" t="str">
        <f>IF(AC31="","","   "&amp;INDEX(Results!$W$6:$W$18,MATCH(AC31,Results!$V$6:$V$18,1)))</f>
        <v/>
      </c>
    </row>
    <row r="32" spans="1:30" x14ac:dyDescent="0.2">
      <c r="A32" s="18">
        <f t="shared" ca="1" si="0"/>
        <v>27</v>
      </c>
      <c r="B32" s="38" t="str">
        <f>IF(Info!B32="Atlar şu ýeri","",Info!B32)</f>
        <v>Piriýew Aýhan</v>
      </c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20"/>
      <c r="AB32" s="21" t="str">
        <f t="shared" si="1"/>
        <v/>
      </c>
      <c r="AC32" s="22" t="str">
        <f t="shared" si="2"/>
        <v/>
      </c>
      <c r="AD32" s="23" t="str">
        <f>IF(AC32="","","   "&amp;INDEX(Results!$W$6:$W$18,MATCH(AC32,Results!$V$6:$V$18,1)))</f>
        <v/>
      </c>
    </row>
    <row r="33" spans="1:30" x14ac:dyDescent="0.2">
      <c r="A33" s="18">
        <f t="shared" ca="1" si="0"/>
        <v>28</v>
      </c>
      <c r="B33" s="38" t="str">
        <f>IF(Info!B33="Atlar şu ýeri","",Info!B33)</f>
        <v>Taganow Sanjar</v>
      </c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20"/>
      <c r="AB33" s="21" t="str">
        <f t="shared" si="1"/>
        <v/>
      </c>
      <c r="AC33" s="22" t="str">
        <f t="shared" si="2"/>
        <v/>
      </c>
      <c r="AD33" s="23" t="str">
        <f>IF(AC33="","","   "&amp;INDEX(Results!$W$6:$W$18,MATCH(AC33,Results!$V$6:$V$18,1)))</f>
        <v/>
      </c>
    </row>
    <row r="34" spans="1:30" x14ac:dyDescent="0.2">
      <c r="A34" s="18">
        <f t="shared" ca="1" si="0"/>
        <v>29</v>
      </c>
      <c r="B34" s="38" t="str">
        <f>IF(Info!B40="Atlar şu ýeri","",Info!B40)</f>
        <v/>
      </c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20"/>
      <c r="AB34" s="21"/>
      <c r="AC34" s="22"/>
      <c r="AD34" s="23"/>
    </row>
    <row r="35" spans="1:30" x14ac:dyDescent="0.2">
      <c r="A35" s="18">
        <f t="shared" ca="1" si="0"/>
        <v>30</v>
      </c>
      <c r="B35" s="38" t="str">
        <f>IF(Info!B35="Atlar şu ýeri","",Info!B35)</f>
        <v>Ýagşybaýew Muhammet</v>
      </c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20"/>
      <c r="AB35" s="21"/>
      <c r="AC35" s="22"/>
      <c r="AD35" s="23"/>
    </row>
    <row r="36" spans="1:30" ht="6.75" customHeight="1" x14ac:dyDescent="0.2">
      <c r="A36" s="18">
        <f t="shared" ca="1" si="0"/>
        <v>31</v>
      </c>
      <c r="B36" s="38" t="str">
        <f>IF(Info!B36="Atlar şu ýeri","",Info!B36)</f>
        <v>Ýazberdiýewa Söýli</v>
      </c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20"/>
      <c r="AB36" s="21"/>
      <c r="AC36" s="22"/>
      <c r="AD36" s="23"/>
    </row>
    <row r="37" spans="1:30" x14ac:dyDescent="0.2">
      <c r="A37" s="18">
        <f t="shared" ca="1" si="0"/>
        <v>32</v>
      </c>
      <c r="B37" s="38" t="str">
        <f>IF(Info!B37="Atlar şu ýeri","",Info!B37)</f>
        <v>Ýazyýewa Meňli</v>
      </c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20"/>
      <c r="AB37" s="21"/>
      <c r="AC37" s="22"/>
      <c r="AD37" s="23"/>
    </row>
    <row r="38" spans="1:30" x14ac:dyDescent="0.2">
      <c r="A38" s="18">
        <f t="shared" ca="1" si="0"/>
        <v>33</v>
      </c>
      <c r="B38" s="38" t="str">
        <f>IF(Info!B38="Atlar şu ýeri","",Info!B38)</f>
        <v>Ýunusow Ýunus</v>
      </c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20"/>
      <c r="AB38" s="21"/>
      <c r="AC38" s="22"/>
      <c r="AD38" s="23"/>
    </row>
    <row r="39" spans="1:30" x14ac:dyDescent="0.2">
      <c r="A39" s="18">
        <f t="shared" ca="1" si="0"/>
        <v>34</v>
      </c>
      <c r="B39" s="38" t="str">
        <f>IF(Info!B39="Atlar şu ýeri","",Info!B39)</f>
        <v>Ýusupowa  Jahan</v>
      </c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20"/>
      <c r="AB39" s="21"/>
      <c r="AC39" s="22"/>
      <c r="AD39" s="23"/>
    </row>
    <row r="40" spans="1:30" x14ac:dyDescent="0.2">
      <c r="A40" s="18">
        <f t="shared" ca="1" si="0"/>
        <v>35</v>
      </c>
      <c r="B40" s="38" t="str">
        <f>IF(Info!B40="Atlar şu ýeri","",Info!B40)</f>
        <v/>
      </c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20"/>
      <c r="AB40" s="21"/>
      <c r="AC40" s="22"/>
      <c r="AD40" s="23"/>
    </row>
    <row r="41" spans="1:30" x14ac:dyDescent="0.2">
      <c r="A41" s="18">
        <f t="shared" ca="1" si="0"/>
        <v>36</v>
      </c>
      <c r="B41" s="38" t="str">
        <f>IF(Info!B41="Atlar şu ýeri","",Info!B41)</f>
        <v/>
      </c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20"/>
      <c r="AB41" s="21"/>
      <c r="AC41" s="22"/>
      <c r="AD41" s="23"/>
    </row>
    <row r="42" spans="1:30" x14ac:dyDescent="0.2">
      <c r="A42" s="18">
        <f t="shared" ca="1" si="0"/>
        <v>37</v>
      </c>
      <c r="B42" s="38" t="str">
        <f>IF(Info!B42="Atlar şu ýeri","",Info!B42)</f>
        <v/>
      </c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20"/>
      <c r="AB42" s="21"/>
      <c r="AC42" s="22"/>
      <c r="AD42" s="23"/>
    </row>
    <row r="43" spans="1:30" x14ac:dyDescent="0.2">
      <c r="A43" s="18">
        <f t="shared" ca="1" si="0"/>
        <v>38</v>
      </c>
      <c r="B43" s="38" t="str">
        <f>IF(Info!B43="Atlar şu ýeri","",Info!B43)</f>
        <v/>
      </c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20"/>
      <c r="AB43" s="21"/>
      <c r="AC43" s="22"/>
      <c r="AD43" s="23"/>
    </row>
  </sheetData>
  <mergeCells count="4">
    <mergeCell ref="AB3:AB4"/>
    <mergeCell ref="AC3:AC4"/>
    <mergeCell ref="AD3:AD4"/>
    <mergeCell ref="C1:T1"/>
  </mergeCell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F49"/>
  <sheetViews>
    <sheetView workbookViewId="0">
      <selection activeCell="V26" sqref="V26"/>
    </sheetView>
  </sheetViews>
  <sheetFormatPr defaultRowHeight="12.75" x14ac:dyDescent="0.2"/>
  <cols>
    <col min="1" max="1" width="3.7109375" style="1" customWidth="1"/>
    <col min="2" max="2" width="37.42578125" style="1" bestFit="1" customWidth="1"/>
    <col min="3" max="3" width="9" style="1" bestFit="1" customWidth="1"/>
    <col min="4" max="16" width="9" style="1" customWidth="1"/>
    <col min="17" max="18" width="7.140625" style="1" customWidth="1"/>
    <col min="19" max="19" width="7.85546875" style="1" bestFit="1" customWidth="1"/>
    <col min="20" max="26" width="7.140625" style="1" customWidth="1"/>
    <col min="27" max="27" width="1.42578125" style="1" customWidth="1"/>
    <col min="28" max="28" width="7.5703125" style="1" customWidth="1"/>
    <col min="29" max="29" width="10.5703125" style="1" bestFit="1" customWidth="1"/>
    <col min="30" max="30" width="6.85546875" style="1" customWidth="1"/>
    <col min="31" max="31" width="5.28515625" style="1" customWidth="1"/>
    <col min="32" max="32" width="16.7109375" style="1" customWidth="1"/>
    <col min="33" max="16384" width="9.140625" style="1"/>
  </cols>
  <sheetData>
    <row r="1" spans="1:30" ht="19.5" x14ac:dyDescent="0.3">
      <c r="A1" s="2"/>
      <c r="B1" s="3" t="s">
        <v>153</v>
      </c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87"/>
      <c r="V1" s="87"/>
      <c r="W1" s="4"/>
      <c r="X1" s="4"/>
      <c r="Y1" s="4"/>
      <c r="Z1" s="4"/>
      <c r="AA1" s="4"/>
      <c r="AB1" s="4"/>
      <c r="AC1" s="6"/>
      <c r="AD1" s="6"/>
    </row>
    <row r="2" spans="1:30" ht="15" x14ac:dyDescent="0.25">
      <c r="A2" s="2"/>
      <c r="B2" s="7" t="s">
        <v>168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10"/>
    </row>
    <row r="3" spans="1:30" ht="42" customHeight="1" x14ac:dyDescent="0.25">
      <c r="A3" s="11"/>
      <c r="B3" s="12" t="s">
        <v>148</v>
      </c>
      <c r="C3" s="13" t="s">
        <v>124</v>
      </c>
      <c r="D3" s="13" t="s">
        <v>125</v>
      </c>
      <c r="E3" s="13" t="s">
        <v>126</v>
      </c>
      <c r="F3" s="13" t="s">
        <v>127</v>
      </c>
      <c r="G3" s="13" t="s">
        <v>128</v>
      </c>
      <c r="H3" s="13" t="s">
        <v>129</v>
      </c>
      <c r="I3" s="13" t="s">
        <v>130</v>
      </c>
      <c r="J3" s="13" t="s">
        <v>131</v>
      </c>
      <c r="K3" s="13" t="s">
        <v>132</v>
      </c>
      <c r="L3" s="13" t="s">
        <v>133</v>
      </c>
      <c r="M3" s="13" t="s">
        <v>134</v>
      </c>
      <c r="N3" s="13" t="s">
        <v>135</v>
      </c>
      <c r="O3" s="13" t="s">
        <v>136</v>
      </c>
      <c r="P3" s="13" t="s">
        <v>137</v>
      </c>
      <c r="Q3" s="13" t="s">
        <v>138</v>
      </c>
      <c r="R3" s="13" t="s">
        <v>139</v>
      </c>
      <c r="S3" s="13" t="s">
        <v>140</v>
      </c>
      <c r="T3" s="13" t="s">
        <v>141</v>
      </c>
      <c r="U3" s="13" t="s">
        <v>142</v>
      </c>
      <c r="V3" s="13" t="s">
        <v>143</v>
      </c>
      <c r="W3" s="13" t="s">
        <v>144</v>
      </c>
      <c r="X3" s="13" t="s">
        <v>145</v>
      </c>
      <c r="Y3" s="13" t="s">
        <v>146</v>
      </c>
      <c r="Z3" s="13" t="s">
        <v>147</v>
      </c>
      <c r="AA3" s="14"/>
      <c r="AB3" s="97" t="s">
        <v>156</v>
      </c>
      <c r="AC3" s="98" t="s">
        <v>157</v>
      </c>
      <c r="AD3" s="99" t="s">
        <v>158</v>
      </c>
    </row>
    <row r="4" spans="1:30" x14ac:dyDescent="0.2">
      <c r="A4" s="11"/>
      <c r="B4" s="15" t="s">
        <v>154</v>
      </c>
      <c r="C4" s="16">
        <v>5</v>
      </c>
      <c r="D4" s="16">
        <v>5</v>
      </c>
      <c r="E4" s="16">
        <v>5</v>
      </c>
      <c r="F4" s="16">
        <v>5</v>
      </c>
      <c r="G4" s="16">
        <v>5</v>
      </c>
      <c r="H4" s="16">
        <v>5</v>
      </c>
      <c r="I4" s="16">
        <v>5</v>
      </c>
      <c r="J4" s="16">
        <v>5</v>
      </c>
      <c r="K4" s="16">
        <v>5</v>
      </c>
      <c r="L4" s="16">
        <v>5</v>
      </c>
      <c r="M4" s="16">
        <v>5</v>
      </c>
      <c r="N4" s="16">
        <v>5</v>
      </c>
      <c r="O4" s="16">
        <v>5</v>
      </c>
      <c r="P4" s="16">
        <v>5</v>
      </c>
      <c r="Q4" s="16">
        <v>5</v>
      </c>
      <c r="R4" s="16">
        <v>5</v>
      </c>
      <c r="S4" s="16">
        <v>5</v>
      </c>
      <c r="T4" s="16">
        <v>5</v>
      </c>
      <c r="U4" s="16">
        <v>5</v>
      </c>
      <c r="V4" s="16">
        <v>5</v>
      </c>
      <c r="W4" s="16">
        <v>5</v>
      </c>
      <c r="X4" s="16">
        <v>5</v>
      </c>
      <c r="Y4" s="16">
        <v>5</v>
      </c>
      <c r="Z4" s="16">
        <v>5</v>
      </c>
      <c r="AA4" s="17"/>
      <c r="AB4" s="97"/>
      <c r="AC4" s="97"/>
      <c r="AD4" s="97"/>
    </row>
    <row r="5" spans="1:30" ht="6" customHeight="1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18">
        <f t="shared" ref="A6:A45" ca="1" si="0">OFFSET(A6,-1,0,1,1)+1</f>
        <v>1</v>
      </c>
      <c r="B6" s="38" t="str">
        <f>IF(Info!B6="Atlar şu ýeri","",Info!B6)</f>
        <v>Abdullaýewa Dinara</v>
      </c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20"/>
      <c r="AB6" s="21" t="str">
        <f>IF(SUM(C6:Z6)=0,"",SUMPRODUCT(C6:Z6))</f>
        <v/>
      </c>
      <c r="AC6" s="22" t="str">
        <f>IF(SUM(C6:Z6)=0,"",AB6/(SUMIF(C6:Z6,"&lt;&gt;",$C$4:$Z$4)-SUMIF(C6:Z6,"=E",$C$4:$Z$4)))</f>
        <v/>
      </c>
      <c r="AD6" s="23" t="str">
        <f>IF(AC6="","","   "&amp;INDEX(Results!$W$6:$W$18,MATCH(AC6,Results!$V$6:$V$18,1)))</f>
        <v/>
      </c>
    </row>
    <row r="7" spans="1:30" x14ac:dyDescent="0.2">
      <c r="A7" s="18">
        <f t="shared" ca="1" si="0"/>
        <v>2</v>
      </c>
      <c r="B7" s="38" t="str">
        <f>IF(Info!B7="Atlar şu ýeri","",Info!B7)</f>
        <v>Arslanow Yhlas</v>
      </c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20"/>
      <c r="AB7" s="21" t="str">
        <f t="shared" ref="AB7:AB45" si="1">IF(SUM(C7:Z7)=0,"",SUMPRODUCT(C7:Z7))</f>
        <v/>
      </c>
      <c r="AC7" s="22" t="str">
        <f t="shared" ref="AC7:AC45" si="2">IF(SUM(C7:Z7)=0,"",AB7/(SUMIF(C7:Z7,"&lt;&gt;",$C$4:$Z$4)-SUMIF(C7:Z7,"=E",$C$4:$Z$4)))</f>
        <v/>
      </c>
      <c r="AD7" s="23" t="str">
        <f>IF(AC7="","","   "&amp;INDEX(Results!$W$6:$W$18,MATCH(AC7,Results!$V$6:$V$18,1)))</f>
        <v/>
      </c>
    </row>
    <row r="8" spans="1:30" x14ac:dyDescent="0.2">
      <c r="A8" s="18">
        <f t="shared" ca="1" si="0"/>
        <v>3</v>
      </c>
      <c r="B8" s="38" t="str">
        <f>IF(Info!B8="Atlar şu ýeri","",Info!B8)</f>
        <v>Aşyrowa Maýsa</v>
      </c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20"/>
      <c r="AB8" s="21" t="str">
        <f t="shared" si="1"/>
        <v/>
      </c>
      <c r="AC8" s="22" t="str">
        <f t="shared" si="2"/>
        <v/>
      </c>
      <c r="AD8" s="23" t="str">
        <f>IF(AC8="","","   "&amp;INDEX(Results!$W$6:$W$18,MATCH(AC8,Results!$V$6:$V$18,1)))</f>
        <v/>
      </c>
    </row>
    <row r="9" spans="1:30" x14ac:dyDescent="0.2">
      <c r="A9" s="18">
        <f t="shared" ca="1" si="0"/>
        <v>4</v>
      </c>
      <c r="B9" s="38" t="str">
        <f>IF(Info!B9="Atlar şu ýeri","",Info!B9)</f>
        <v>Atabaýewa Ogulaý</v>
      </c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20"/>
      <c r="AB9" s="21" t="str">
        <f t="shared" si="1"/>
        <v/>
      </c>
      <c r="AC9" s="22" t="str">
        <f t="shared" si="2"/>
        <v/>
      </c>
      <c r="AD9" s="23" t="str">
        <f>IF(AC9="","","   "&amp;INDEX(Results!$W$6:$W$18,MATCH(AC9,Results!$V$6:$V$18,1)))</f>
        <v/>
      </c>
    </row>
    <row r="10" spans="1:30" x14ac:dyDescent="0.2">
      <c r="A10" s="18">
        <f t="shared" ca="1" si="0"/>
        <v>5</v>
      </c>
      <c r="B10" s="38" t="str">
        <f>IF(Info!B10="Atlar şu ýeri","",Info!B10)</f>
        <v>Atanazarow Meýlis</v>
      </c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20"/>
      <c r="AB10" s="21" t="str">
        <f t="shared" si="1"/>
        <v/>
      </c>
      <c r="AC10" s="22" t="str">
        <f t="shared" si="2"/>
        <v/>
      </c>
      <c r="AD10" s="23" t="str">
        <f>IF(AC10="","","   "&amp;INDEX(Results!$W$6:$W$18,MATCH(AC10,Results!$V$6:$V$18,1)))</f>
        <v/>
      </c>
    </row>
    <row r="11" spans="1:30" x14ac:dyDescent="0.2">
      <c r="A11" s="18">
        <f t="shared" ca="1" si="0"/>
        <v>6</v>
      </c>
      <c r="B11" s="38" t="str">
        <f>IF(Info!B11="Atlar şu ýeri","",Info!B11)</f>
        <v>Babajanowa Aýlar</v>
      </c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20"/>
      <c r="AB11" s="21" t="str">
        <f t="shared" si="1"/>
        <v/>
      </c>
      <c r="AC11" s="22" t="str">
        <f t="shared" si="2"/>
        <v/>
      </c>
      <c r="AD11" s="23" t="str">
        <f>IF(AC11="","","   "&amp;INDEX(Results!$W$6:$W$18,MATCH(AC11,Results!$V$6:$V$18,1)))</f>
        <v/>
      </c>
    </row>
    <row r="12" spans="1:30" x14ac:dyDescent="0.2">
      <c r="A12" s="18">
        <f t="shared" ca="1" si="0"/>
        <v>7</v>
      </c>
      <c r="B12" s="38" t="str">
        <f>IF(Info!B12="Atlar şu ýeri","",Info!B12)</f>
        <v>Babajanowa Selbi</v>
      </c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20"/>
      <c r="AB12" s="21" t="str">
        <f t="shared" si="1"/>
        <v/>
      </c>
      <c r="AC12" s="22" t="str">
        <f t="shared" si="2"/>
        <v/>
      </c>
      <c r="AD12" s="23" t="str">
        <f>IF(AC12="","","   "&amp;INDEX(Results!$W$6:$W$18,MATCH(AC12,Results!$V$6:$V$18,1)))</f>
        <v/>
      </c>
    </row>
    <row r="13" spans="1:30" x14ac:dyDescent="0.2">
      <c r="A13" s="18">
        <f t="shared" ca="1" si="0"/>
        <v>8</v>
      </c>
      <c r="B13" s="38" t="str">
        <f>IF(Info!B13="Atlar şu ýeri","",Info!B13)</f>
        <v>Ataýew Nurgeldi</v>
      </c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20"/>
      <c r="AB13" s="21" t="str">
        <f t="shared" si="1"/>
        <v/>
      </c>
      <c r="AC13" s="22" t="str">
        <f t="shared" si="2"/>
        <v/>
      </c>
      <c r="AD13" s="23" t="str">
        <f>IF(AC13="","","   "&amp;INDEX(Results!$W$6:$W$18,MATCH(AC13,Results!$V$6:$V$18,1)))</f>
        <v/>
      </c>
    </row>
    <row r="14" spans="1:30" x14ac:dyDescent="0.2">
      <c r="A14" s="18">
        <f t="shared" ca="1" si="0"/>
        <v>9</v>
      </c>
      <c r="B14" s="38" t="str">
        <f>IF(Info!B14="Atlar şu ýeri","",Info!B14)</f>
        <v>Batyrow Arafat</v>
      </c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20"/>
      <c r="AB14" s="21" t="str">
        <f t="shared" si="1"/>
        <v/>
      </c>
      <c r="AC14" s="22" t="str">
        <f t="shared" si="2"/>
        <v/>
      </c>
      <c r="AD14" s="23" t="str">
        <f>IF(AC14="","","   "&amp;INDEX(Results!$W$6:$W$18,MATCH(AC14,Results!$V$6:$V$18,1)))</f>
        <v/>
      </c>
    </row>
    <row r="15" spans="1:30" x14ac:dyDescent="0.2">
      <c r="A15" s="18">
        <f t="shared" ca="1" si="0"/>
        <v>10</v>
      </c>
      <c r="B15" s="38" t="str">
        <f>IF(Info!B15="Atlar şu ýeri","",Info!B15)</f>
        <v>Çaryýew Kemal</v>
      </c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20"/>
      <c r="AB15" s="21" t="str">
        <f t="shared" si="1"/>
        <v/>
      </c>
      <c r="AC15" s="22" t="str">
        <f t="shared" si="2"/>
        <v/>
      </c>
      <c r="AD15" s="23" t="str">
        <f>IF(AC15="","","   "&amp;INDEX(Results!$W$6:$W$18,MATCH(AC15,Results!$V$6:$V$18,1)))</f>
        <v/>
      </c>
    </row>
    <row r="16" spans="1:30" x14ac:dyDescent="0.2">
      <c r="A16" s="18">
        <f t="shared" ca="1" si="0"/>
        <v>11</v>
      </c>
      <c r="B16" s="38" t="str">
        <f>IF(Info!B16="Atlar şu ýeri","",Info!B16)</f>
        <v>Gurbanow Mekanmyrat</v>
      </c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20"/>
      <c r="AB16" s="21" t="str">
        <f t="shared" si="1"/>
        <v/>
      </c>
      <c r="AC16" s="22" t="str">
        <f t="shared" si="2"/>
        <v/>
      </c>
      <c r="AD16" s="23" t="str">
        <f>IF(AC16="","","   "&amp;INDEX(Results!$W$6:$W$18,MATCH(AC16,Results!$V$6:$V$18,1)))</f>
        <v/>
      </c>
    </row>
    <row r="17" spans="1:30" x14ac:dyDescent="0.2">
      <c r="A17" s="18">
        <f t="shared" ca="1" si="0"/>
        <v>12</v>
      </c>
      <c r="B17" s="38" t="str">
        <f>IF(Info!B17="Atlar şu ýeri","",Info!B17)</f>
        <v>Hojamuhammedow Guwanç</v>
      </c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20"/>
      <c r="AB17" s="21" t="str">
        <f t="shared" si="1"/>
        <v/>
      </c>
      <c r="AC17" s="22" t="str">
        <f t="shared" si="2"/>
        <v/>
      </c>
      <c r="AD17" s="23" t="str">
        <f>IF(AC17="","","   "&amp;INDEX(Results!$W$6:$W$18,MATCH(AC17,Results!$V$6:$V$18,1)))</f>
        <v/>
      </c>
    </row>
    <row r="18" spans="1:30" x14ac:dyDescent="0.2">
      <c r="A18" s="18">
        <f t="shared" ca="1" si="0"/>
        <v>13</v>
      </c>
      <c r="B18" s="38" t="str">
        <f>IF(Info!B18="Atlar şu ýeri","",Info!B18)</f>
        <v xml:space="preserve">Hojamämmedow  </v>
      </c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20"/>
      <c r="AB18" s="21" t="str">
        <f t="shared" si="1"/>
        <v/>
      </c>
      <c r="AC18" s="22" t="str">
        <f t="shared" si="2"/>
        <v/>
      </c>
      <c r="AD18" s="23" t="str">
        <f>IF(AC18="","","   "&amp;INDEX(Results!$W$6:$W$18,MATCH(AC18,Results!$V$6:$V$18,1)))</f>
        <v/>
      </c>
    </row>
    <row r="19" spans="1:30" x14ac:dyDescent="0.2">
      <c r="A19" s="18">
        <f t="shared" ca="1" si="0"/>
        <v>14</v>
      </c>
      <c r="B19" s="38" t="str">
        <f>IF(Info!B19="Atlar şu ýeri","",Info!B19)</f>
        <v>Hanowa Gülälek</v>
      </c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20"/>
      <c r="AB19" s="21" t="str">
        <f t="shared" si="1"/>
        <v/>
      </c>
      <c r="AC19" s="22" t="str">
        <f t="shared" si="2"/>
        <v/>
      </c>
      <c r="AD19" s="23" t="str">
        <f>IF(AC19="","","   "&amp;INDEX(Results!$W$6:$W$18,MATCH(AC19,Results!$V$6:$V$18,1)))</f>
        <v/>
      </c>
    </row>
    <row r="20" spans="1:30" x14ac:dyDescent="0.2">
      <c r="A20" s="18">
        <f t="shared" ca="1" si="0"/>
        <v>15</v>
      </c>
      <c r="B20" s="38" t="str">
        <f>IF(Info!B20="Atlar şu ýeri","",Info!B20)</f>
        <v>Husainow Serdar</v>
      </c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20"/>
      <c r="AB20" s="21" t="str">
        <f t="shared" si="1"/>
        <v/>
      </c>
      <c r="AC20" s="22" t="str">
        <f t="shared" si="2"/>
        <v/>
      </c>
      <c r="AD20" s="23" t="str">
        <f>IF(AC20="","","   "&amp;INDEX(Results!$W$6:$W$18,MATCH(AC20,Results!$V$6:$V$18,1)))</f>
        <v/>
      </c>
    </row>
    <row r="21" spans="1:30" x14ac:dyDescent="0.2">
      <c r="A21" s="18">
        <f t="shared" ca="1" si="0"/>
        <v>16</v>
      </c>
      <c r="B21" s="38" t="str">
        <f>IF(Info!B21="Atlar şu ýeri","",Info!B21)</f>
        <v>Orunowa Täçbibi</v>
      </c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20"/>
      <c r="AB21" s="21" t="str">
        <f t="shared" si="1"/>
        <v/>
      </c>
      <c r="AC21" s="22" t="str">
        <f t="shared" si="2"/>
        <v/>
      </c>
      <c r="AD21" s="23" t="str">
        <f>IF(AC21="","","   "&amp;INDEX(Results!$W$6:$W$18,MATCH(AC21,Results!$V$6:$V$18,1)))</f>
        <v/>
      </c>
    </row>
    <row r="22" spans="1:30" x14ac:dyDescent="0.2">
      <c r="A22" s="18">
        <f t="shared" ca="1" si="0"/>
        <v>17</v>
      </c>
      <c r="B22" s="38" t="str">
        <f>IF(Info!B22="Atlar şu ýeri","",Info!B22)</f>
        <v>Ilýasow Älem</v>
      </c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20"/>
      <c r="AB22" s="21" t="str">
        <f t="shared" si="1"/>
        <v/>
      </c>
      <c r="AC22" s="22" t="str">
        <f t="shared" si="2"/>
        <v/>
      </c>
      <c r="AD22" s="23" t="str">
        <f>IF(AC22="","","   "&amp;INDEX(Results!$W$6:$W$18,MATCH(AC22,Results!$V$6:$V$18,1)))</f>
        <v/>
      </c>
    </row>
    <row r="23" spans="1:30" x14ac:dyDescent="0.2">
      <c r="A23" s="18">
        <f t="shared" ca="1" si="0"/>
        <v>18</v>
      </c>
      <c r="B23" s="38" t="str">
        <f>IF(Info!B23="Atlar şu ýeri","",Info!B23)</f>
        <v>Karabaýew Begli</v>
      </c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20"/>
      <c r="AB23" s="21" t="str">
        <f t="shared" si="1"/>
        <v/>
      </c>
      <c r="AC23" s="22" t="str">
        <f t="shared" si="2"/>
        <v/>
      </c>
      <c r="AD23" s="23" t="str">
        <f>IF(AC23="","","   "&amp;INDEX(Results!$W$6:$W$18,MATCH(AC23,Results!$V$6:$V$18,1)))</f>
        <v/>
      </c>
    </row>
    <row r="24" spans="1:30" x14ac:dyDescent="0.2">
      <c r="A24" s="18">
        <f t="shared" ca="1" si="0"/>
        <v>19</v>
      </c>
      <c r="B24" s="38" t="str">
        <f>IF(Info!B24="Atlar şu ýeri","",Info!B24)</f>
        <v>Kurbanow Wekil</v>
      </c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20"/>
      <c r="AB24" s="21" t="str">
        <f t="shared" si="1"/>
        <v/>
      </c>
      <c r="AC24" s="22" t="str">
        <f t="shared" si="2"/>
        <v/>
      </c>
      <c r="AD24" s="23" t="str">
        <f>IF(AC24="","","   "&amp;INDEX(Results!$W$6:$W$18,MATCH(AC24,Results!$V$6:$V$18,1)))</f>
        <v/>
      </c>
    </row>
    <row r="25" spans="1:30" x14ac:dyDescent="0.2">
      <c r="A25" s="18">
        <f t="shared" ca="1" si="0"/>
        <v>20</v>
      </c>
      <c r="B25" s="38" t="str">
        <f>IF(Info!B25="Atlar şu ýeri","",Info!B25)</f>
        <v>Madraimow Seidjan</v>
      </c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20"/>
      <c r="AB25" s="21" t="str">
        <f t="shared" si="1"/>
        <v/>
      </c>
      <c r="AC25" s="22" t="str">
        <f t="shared" si="2"/>
        <v/>
      </c>
      <c r="AD25" s="23" t="str">
        <f>IF(AC25="","","   "&amp;INDEX(Results!$W$6:$W$18,MATCH(AC25,Results!$V$6:$V$18,1)))</f>
        <v/>
      </c>
    </row>
    <row r="26" spans="1:30" x14ac:dyDescent="0.2">
      <c r="A26" s="18">
        <f t="shared" ca="1" si="0"/>
        <v>21</v>
      </c>
      <c r="B26" s="38" t="str">
        <f>IF(Info!B26="Atlar şu ýeri","",Info!B26)</f>
        <v>Matmuradowa Gulnur</v>
      </c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20"/>
      <c r="AB26" s="21" t="str">
        <f t="shared" si="1"/>
        <v/>
      </c>
      <c r="AC26" s="22" t="str">
        <f t="shared" si="2"/>
        <v/>
      </c>
      <c r="AD26" s="23" t="str">
        <f>IF(AC26="","","   "&amp;INDEX(Results!$W$6:$W$18,MATCH(AC26,Results!$V$6:$V$18,1)))</f>
        <v/>
      </c>
    </row>
    <row r="27" spans="1:30" x14ac:dyDescent="0.2">
      <c r="A27" s="18">
        <f t="shared" ca="1" si="0"/>
        <v>22</v>
      </c>
      <c r="B27" s="38" t="str">
        <f>IF(Info!B27="Atlar şu ýeri","",Info!B27)</f>
        <v>Myradowa Aýjahan</v>
      </c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20"/>
      <c r="AB27" s="21" t="str">
        <f t="shared" si="1"/>
        <v/>
      </c>
      <c r="AC27" s="22" t="str">
        <f t="shared" si="2"/>
        <v/>
      </c>
      <c r="AD27" s="23" t="str">
        <f>IF(AC27="","","   "&amp;INDEX(Results!$W$6:$W$18,MATCH(AC27,Results!$V$6:$V$18,1)))</f>
        <v/>
      </c>
    </row>
    <row r="28" spans="1:30" x14ac:dyDescent="0.2">
      <c r="A28" s="18">
        <f t="shared" ca="1" si="0"/>
        <v>23</v>
      </c>
      <c r="B28" s="38" t="str">
        <f>IF(Info!B28="Atlar şu ýeri","",Info!B28)</f>
        <v>Osmanowa Ýyldyz</v>
      </c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20"/>
      <c r="AB28" s="21" t="str">
        <f t="shared" si="1"/>
        <v/>
      </c>
      <c r="AC28" s="22" t="str">
        <f t="shared" si="2"/>
        <v/>
      </c>
      <c r="AD28" s="23" t="str">
        <f>IF(AC28="","","   "&amp;INDEX(Results!$W$6:$W$18,MATCH(AC28,Results!$V$6:$V$18,1)))</f>
        <v/>
      </c>
    </row>
    <row r="29" spans="1:30" x14ac:dyDescent="0.2">
      <c r="A29" s="18">
        <f t="shared" ca="1" si="0"/>
        <v>24</v>
      </c>
      <c r="B29" s="38" t="str">
        <f>IF(Info!B29="Atlar şu ýeri","",Info!B29)</f>
        <v>Orazowa Aýnur</v>
      </c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20"/>
      <c r="AB29" s="21" t="str">
        <f t="shared" si="1"/>
        <v/>
      </c>
      <c r="AC29" s="22" t="str">
        <f t="shared" si="2"/>
        <v/>
      </c>
      <c r="AD29" s="23" t="str">
        <f>IF(AC29="","","   "&amp;INDEX(Results!$W$6:$W$18,MATCH(AC29,Results!$V$6:$V$18,1)))</f>
        <v/>
      </c>
    </row>
    <row r="30" spans="1:30" x14ac:dyDescent="0.2">
      <c r="A30" s="18">
        <f t="shared" ca="1" si="0"/>
        <v>25</v>
      </c>
      <c r="B30" s="38" t="str">
        <f>IF(Info!B30="Atlar şu ýeri","",Info!B30)</f>
        <v>Orunowa Aýjemal</v>
      </c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20"/>
      <c r="AB30" s="21" t="str">
        <f t="shared" si="1"/>
        <v/>
      </c>
      <c r="AC30" s="22" t="str">
        <f t="shared" si="2"/>
        <v/>
      </c>
      <c r="AD30" s="23" t="str">
        <f>IF(AC30="","","   "&amp;INDEX(Results!$W$6:$W$18,MATCH(AC30,Results!$V$6:$V$18,1)))</f>
        <v/>
      </c>
    </row>
    <row r="31" spans="1:30" x14ac:dyDescent="0.2">
      <c r="A31" s="18">
        <f t="shared" ca="1" si="0"/>
        <v>26</v>
      </c>
      <c r="B31" s="38" t="str">
        <f>IF(Info!B31="Atlar şu ýeri","",Info!B31)</f>
        <v>Öwezow Döwlet</v>
      </c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20"/>
      <c r="AB31" s="21" t="str">
        <f t="shared" si="1"/>
        <v/>
      </c>
      <c r="AC31" s="22" t="str">
        <f t="shared" si="2"/>
        <v/>
      </c>
      <c r="AD31" s="23" t="str">
        <f>IF(AC31="","","   "&amp;INDEX(Results!$W$6:$W$18,MATCH(AC31,Results!$V$6:$V$18,1)))</f>
        <v/>
      </c>
    </row>
    <row r="32" spans="1:30" x14ac:dyDescent="0.2">
      <c r="A32" s="18">
        <f t="shared" ca="1" si="0"/>
        <v>27</v>
      </c>
      <c r="B32" s="38" t="str">
        <f>IF(Info!B32="Atlar şu ýeri","",Info!B32)</f>
        <v>Piriýew Aýhan</v>
      </c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20"/>
      <c r="AB32" s="21" t="str">
        <f t="shared" si="1"/>
        <v/>
      </c>
      <c r="AC32" s="22" t="str">
        <f t="shared" si="2"/>
        <v/>
      </c>
      <c r="AD32" s="23" t="str">
        <f>IF(AC32="","","   "&amp;INDEX(Results!$W$6:$W$18,MATCH(AC32,Results!$V$6:$V$18,1)))</f>
        <v/>
      </c>
    </row>
    <row r="33" spans="1:32" x14ac:dyDescent="0.2">
      <c r="A33" s="18">
        <f t="shared" ca="1" si="0"/>
        <v>28</v>
      </c>
      <c r="B33" s="38" t="str">
        <f>IF(Info!B33="Atlar şu ýeri","",Info!B33)</f>
        <v>Taganow Sanjar</v>
      </c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20"/>
      <c r="AB33" s="21" t="str">
        <f t="shared" si="1"/>
        <v/>
      </c>
      <c r="AC33" s="22" t="str">
        <f t="shared" si="2"/>
        <v/>
      </c>
      <c r="AD33" s="23" t="str">
        <f>IF(AC33="","","   "&amp;INDEX(Results!$W$6:$W$18,MATCH(AC33,Results!$V$6:$V$18,1)))</f>
        <v/>
      </c>
    </row>
    <row r="34" spans="1:32" x14ac:dyDescent="0.2">
      <c r="A34" s="18">
        <f t="shared" ca="1" si="0"/>
        <v>29</v>
      </c>
      <c r="B34" s="38" t="str">
        <f>IF(Info!B34="Atlar şu ýeri","",Info!B34)</f>
        <v>Weliýew Öwez</v>
      </c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20"/>
      <c r="AB34" s="21" t="str">
        <f t="shared" si="1"/>
        <v/>
      </c>
      <c r="AC34" s="22" t="str">
        <f t="shared" si="2"/>
        <v/>
      </c>
      <c r="AD34" s="23" t="str">
        <f>IF(AC34="","","   "&amp;INDEX(Results!$W$6:$W$18,MATCH(AC34,Results!$V$6:$V$18,1)))</f>
        <v/>
      </c>
    </row>
    <row r="35" spans="1:32" x14ac:dyDescent="0.2">
      <c r="A35" s="18">
        <f t="shared" ca="1" si="0"/>
        <v>30</v>
      </c>
      <c r="B35" s="38" t="str">
        <f>IF(Info!B35="Atlar şu ýeri","",Info!B35)</f>
        <v>Ýagşybaýew Muhammet</v>
      </c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20"/>
      <c r="AB35" s="21" t="str">
        <f t="shared" si="1"/>
        <v/>
      </c>
      <c r="AC35" s="22" t="str">
        <f t="shared" si="2"/>
        <v/>
      </c>
      <c r="AD35" s="23" t="str">
        <f>IF(AC35="","","   "&amp;INDEX(Results!$W$6:$W$18,MATCH(AC35,Results!$V$6:$V$18,1)))</f>
        <v/>
      </c>
    </row>
    <row r="36" spans="1:32" x14ac:dyDescent="0.2">
      <c r="A36" s="18">
        <f t="shared" ca="1" si="0"/>
        <v>31</v>
      </c>
      <c r="B36" s="38" t="str">
        <f>IF(Info!B36="Atlar şu ýeri","",Info!B36)</f>
        <v>Ýazberdiýewa Söýli</v>
      </c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20"/>
      <c r="AB36" s="21" t="str">
        <f t="shared" si="1"/>
        <v/>
      </c>
      <c r="AC36" s="22" t="str">
        <f t="shared" si="2"/>
        <v/>
      </c>
      <c r="AD36" s="23" t="str">
        <f>IF(AC36="","","   "&amp;INDEX(Results!$W$6:$W$18,MATCH(AC36,Results!$V$6:$V$18,1)))</f>
        <v/>
      </c>
    </row>
    <row r="37" spans="1:32" x14ac:dyDescent="0.2">
      <c r="A37" s="18">
        <f t="shared" ca="1" si="0"/>
        <v>32</v>
      </c>
      <c r="B37" s="38" t="str">
        <f>IF(Info!B37="Atlar şu ýeri","",Info!B37)</f>
        <v>Ýazyýewa Meňli</v>
      </c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20"/>
      <c r="AB37" s="21" t="str">
        <f t="shared" si="1"/>
        <v/>
      </c>
      <c r="AC37" s="22" t="str">
        <f t="shared" si="2"/>
        <v/>
      </c>
      <c r="AD37" s="23" t="str">
        <f>IF(AC37="","","   "&amp;INDEX(Results!$W$6:$W$18,MATCH(AC37,Results!$V$6:$V$18,1)))</f>
        <v/>
      </c>
    </row>
    <row r="38" spans="1:32" x14ac:dyDescent="0.2">
      <c r="A38" s="18">
        <f t="shared" ca="1" si="0"/>
        <v>33</v>
      </c>
      <c r="B38" s="38" t="str">
        <f>IF(Info!B38="Atlar şu ýeri","",Info!B38)</f>
        <v>Ýunusow Ýunus</v>
      </c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20"/>
      <c r="AB38" s="21" t="str">
        <f t="shared" si="1"/>
        <v/>
      </c>
      <c r="AC38" s="22" t="str">
        <f t="shared" si="2"/>
        <v/>
      </c>
      <c r="AD38" s="23" t="str">
        <f>IF(AC38="","","   "&amp;INDEX(Results!$W$6:$W$18,MATCH(AC38,Results!$V$6:$V$18,1)))</f>
        <v/>
      </c>
    </row>
    <row r="39" spans="1:32" x14ac:dyDescent="0.2">
      <c r="A39" s="18">
        <f t="shared" ca="1" si="0"/>
        <v>34</v>
      </c>
      <c r="B39" s="38" t="str">
        <f>IF(Info!B39="Atlar şu ýeri","",Info!B39)</f>
        <v>Ýusupowa  Jahan</v>
      </c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20"/>
      <c r="AB39" s="21" t="str">
        <f t="shared" si="1"/>
        <v/>
      </c>
      <c r="AC39" s="22" t="str">
        <f t="shared" si="2"/>
        <v/>
      </c>
      <c r="AD39" s="23" t="str">
        <f>IF(AC39="","","   "&amp;INDEX(Results!$W$6:$W$18,MATCH(AC39,Results!$V$6:$V$18,1)))</f>
        <v/>
      </c>
    </row>
    <row r="40" spans="1:32" x14ac:dyDescent="0.2">
      <c r="A40" s="18">
        <f t="shared" ca="1" si="0"/>
        <v>35</v>
      </c>
      <c r="B40" s="38" t="str">
        <f>IF(Info!B40="Atlar şu ýeri","",Info!B40)</f>
        <v/>
      </c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20"/>
      <c r="AB40" s="21" t="str">
        <f t="shared" si="1"/>
        <v/>
      </c>
      <c r="AC40" s="22" t="str">
        <f t="shared" si="2"/>
        <v/>
      </c>
      <c r="AD40" s="23" t="str">
        <f>IF(AC40="","","   "&amp;INDEX(Results!$W$6:$W$18,MATCH(AC40,Results!$V$6:$V$18,1)))</f>
        <v/>
      </c>
    </row>
    <row r="41" spans="1:32" x14ac:dyDescent="0.2">
      <c r="A41" s="18">
        <f t="shared" ca="1" si="0"/>
        <v>36</v>
      </c>
      <c r="B41" s="38" t="str">
        <f>IF(Info!B41="Atlar şu ýeri","",Info!B41)</f>
        <v/>
      </c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20"/>
      <c r="AB41" s="21" t="str">
        <f t="shared" si="1"/>
        <v/>
      </c>
      <c r="AC41" s="22" t="str">
        <f t="shared" si="2"/>
        <v/>
      </c>
      <c r="AD41" s="23" t="str">
        <f>IF(AC41="","","   "&amp;INDEX(Results!$W$6:$W$18,MATCH(AC41,Results!$V$6:$V$18,1)))</f>
        <v/>
      </c>
    </row>
    <row r="42" spans="1:32" x14ac:dyDescent="0.2">
      <c r="A42" s="18">
        <f t="shared" ca="1" si="0"/>
        <v>37</v>
      </c>
      <c r="B42" s="38" t="str">
        <f>IF(Info!B42="Atlar şu ýeri","",Info!B42)</f>
        <v/>
      </c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20"/>
      <c r="AB42" s="21" t="str">
        <f t="shared" si="1"/>
        <v/>
      </c>
      <c r="AC42" s="22" t="str">
        <f t="shared" si="2"/>
        <v/>
      </c>
      <c r="AD42" s="23" t="str">
        <f>IF(AC42="","","   "&amp;INDEX(Results!$W$6:$W$18,MATCH(AC42,Results!$V$6:$V$18,1)))</f>
        <v/>
      </c>
    </row>
    <row r="43" spans="1:32" x14ac:dyDescent="0.2">
      <c r="A43" s="18">
        <f t="shared" ca="1" si="0"/>
        <v>38</v>
      </c>
      <c r="B43" s="38" t="str">
        <f>IF(Info!B43="Atlar şu ýeri","",Info!B43)</f>
        <v/>
      </c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20"/>
      <c r="AB43" s="21" t="str">
        <f t="shared" si="1"/>
        <v/>
      </c>
      <c r="AC43" s="22" t="str">
        <f t="shared" si="2"/>
        <v/>
      </c>
      <c r="AD43" s="23" t="str">
        <f>IF(AC43="","","   "&amp;INDEX(Results!$W$6:$W$18,MATCH(AC43,Results!$V$6:$V$18,1)))</f>
        <v/>
      </c>
    </row>
    <row r="44" spans="1:32" x14ac:dyDescent="0.2">
      <c r="A44" s="18">
        <f t="shared" ca="1" si="0"/>
        <v>39</v>
      </c>
      <c r="B44" s="38" t="str">
        <f>IF(Info!B44="Atlar şu ýeri","",Info!B44)</f>
        <v/>
      </c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20"/>
      <c r="AB44" s="21" t="str">
        <f t="shared" si="1"/>
        <v/>
      </c>
      <c r="AC44" s="22" t="str">
        <f t="shared" si="2"/>
        <v/>
      </c>
      <c r="AD44" s="23" t="str">
        <f>IF(AC44="","","   "&amp;INDEX(Results!$W$6:$W$18,MATCH(AC44,Results!$V$6:$V$18,1)))</f>
        <v/>
      </c>
    </row>
    <row r="45" spans="1:32" x14ac:dyDescent="0.2">
      <c r="A45" s="18">
        <f t="shared" ca="1" si="0"/>
        <v>40</v>
      </c>
      <c r="B45" s="38" t="str">
        <f>IF(Info!B45="Atlar şu ýeri","",Info!B45)</f>
        <v/>
      </c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20"/>
      <c r="AB45" s="21" t="str">
        <f t="shared" si="1"/>
        <v/>
      </c>
      <c r="AC45" s="22" t="str">
        <f t="shared" si="2"/>
        <v/>
      </c>
      <c r="AD45" s="23" t="str">
        <f>IF(AC45="","","   "&amp;INDEX(Results!$W$6:$W$18,MATCH(AC45,Results!$V$6:$V$18,1)))</f>
        <v/>
      </c>
    </row>
    <row r="46" spans="1:32" x14ac:dyDescent="0.2">
      <c r="A46" s="24" t="s">
        <v>0</v>
      </c>
      <c r="B46" s="25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>
        <v>1</v>
      </c>
      <c r="AA46" s="27"/>
      <c r="AB46" s="28"/>
      <c r="AC46" s="29"/>
      <c r="AD46" s="30"/>
    </row>
    <row r="47" spans="1:32" x14ac:dyDescent="0.2">
      <c r="A47" s="2"/>
      <c r="B47" s="31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AA47" s="27"/>
      <c r="AB47" s="33" t="s">
        <v>155</v>
      </c>
      <c r="AC47" s="34" t="e">
        <f>AVERAGE(AC6:AC46)</f>
        <v>#DIV/0!</v>
      </c>
      <c r="AD47" s="35" t="e">
        <f>IF(AC47="","",INDEX(Results!$W$6:$W$18,MATCH(AC47,Results!$V$6:$V$18,1)))</f>
        <v>#DIV/0!</v>
      </c>
      <c r="AF47" s="36"/>
    </row>
    <row r="48" spans="1:32" x14ac:dyDescent="0.2">
      <c r="A48" s="2"/>
      <c r="B48" s="31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27"/>
      <c r="AB48" s="90"/>
      <c r="AC48" s="91"/>
      <c r="AD48" s="92"/>
      <c r="AF48" s="36"/>
    </row>
    <row r="49" spans="1:30" x14ac:dyDescent="0.2">
      <c r="A49" s="2"/>
      <c r="B49" s="37"/>
      <c r="C49" s="32"/>
      <c r="D49" s="32"/>
      <c r="E49" s="32"/>
      <c r="F49" s="32"/>
      <c r="G49" s="32"/>
      <c r="H49" s="32"/>
      <c r="I49" s="93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27"/>
      <c r="AB49" s="2"/>
      <c r="AC49" s="2"/>
      <c r="AD49" s="2"/>
    </row>
  </sheetData>
  <mergeCells count="4">
    <mergeCell ref="AB3:AB4"/>
    <mergeCell ref="AC3:AC4"/>
    <mergeCell ref="AD3:AD4"/>
    <mergeCell ref="C1:T1"/>
  </mergeCell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/>
  <headerFooter alignWithMargins="0"/>
  <drawing r:id="rId1"/>
  <legacyDrawing r:id="rId2"/>
  <controls>
    <mc:AlternateContent xmlns:mc="http://schemas.openxmlformats.org/markup-compatibility/2006">
      <mc:Choice Requires="x14">
        <control shapeId="19457" r:id="rId3" name="CommandButton1">
          <controlPr defaultSize="0" autoLine="0" r:id="rId4">
            <anchor moveWithCells="1">
              <from>
                <xdr:col>30</xdr:col>
                <xdr:colOff>323850</xdr:colOff>
                <xdr:row>1</xdr:row>
                <xdr:rowOff>38100</xdr:rowOff>
              </from>
              <to>
                <xdr:col>32</xdr:col>
                <xdr:colOff>9525</xdr:colOff>
                <xdr:row>2</xdr:row>
                <xdr:rowOff>514350</xdr:rowOff>
              </to>
            </anchor>
          </controlPr>
        </control>
      </mc:Choice>
      <mc:Fallback>
        <control shapeId="19457" r:id="rId3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D43"/>
  <sheetViews>
    <sheetView workbookViewId="0">
      <selection sqref="A1:AL43"/>
    </sheetView>
  </sheetViews>
  <sheetFormatPr defaultRowHeight="12.75" x14ac:dyDescent="0.2"/>
  <cols>
    <col min="1" max="1" width="3.7109375" style="1" customWidth="1"/>
    <col min="2" max="2" width="38" style="1" bestFit="1" customWidth="1"/>
    <col min="3" max="16" width="7.140625" style="1" customWidth="1"/>
    <col min="17" max="17" width="1.42578125" style="1" customWidth="1"/>
    <col min="18" max="18" width="7.5703125" style="1" customWidth="1"/>
    <col min="19" max="19" width="10.5703125" style="1" bestFit="1" customWidth="1"/>
    <col min="20" max="20" width="6.85546875" style="1" customWidth="1"/>
    <col min="21" max="21" width="5.28515625" style="1" customWidth="1"/>
    <col min="22" max="22" width="16.7109375" style="1" customWidth="1"/>
    <col min="23" max="16384" width="9.140625" style="1"/>
  </cols>
  <sheetData>
    <row r="1" spans="1:30" ht="19.5" x14ac:dyDescent="0.3">
      <c r="A1" s="2"/>
      <c r="B1" s="3" t="s">
        <v>56</v>
      </c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87"/>
      <c r="V1" s="87"/>
      <c r="W1" s="4"/>
      <c r="X1" s="4"/>
      <c r="Y1" s="4"/>
      <c r="Z1" s="4"/>
      <c r="AA1" s="4"/>
      <c r="AB1" s="4"/>
      <c r="AC1" s="6"/>
      <c r="AD1" s="6"/>
    </row>
    <row r="2" spans="1:30" ht="15" x14ac:dyDescent="0.25">
      <c r="A2" s="2"/>
      <c r="B2" s="7" t="s">
        <v>11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10"/>
    </row>
    <row r="3" spans="1:30" ht="42" customHeight="1" x14ac:dyDescent="0.25">
      <c r="A3" s="11"/>
      <c r="B3" s="12" t="s">
        <v>14</v>
      </c>
      <c r="C3" s="13" t="s">
        <v>15</v>
      </c>
      <c r="D3" s="13" t="s">
        <v>16</v>
      </c>
      <c r="E3" s="13" t="s">
        <v>17</v>
      </c>
      <c r="F3" s="13" t="s">
        <v>18</v>
      </c>
      <c r="G3" s="13" t="s">
        <v>19</v>
      </c>
      <c r="H3" s="13" t="s">
        <v>20</v>
      </c>
      <c r="I3" s="13" t="s">
        <v>21</v>
      </c>
      <c r="J3" s="13" t="s">
        <v>22</v>
      </c>
      <c r="K3" s="13" t="s">
        <v>23</v>
      </c>
      <c r="L3" s="13" t="s">
        <v>24</v>
      </c>
      <c r="M3" s="13" t="s">
        <v>25</v>
      </c>
      <c r="N3" s="13" t="s">
        <v>26</v>
      </c>
      <c r="O3" s="13" t="s">
        <v>27</v>
      </c>
      <c r="P3" s="13" t="s">
        <v>28</v>
      </c>
      <c r="Q3" s="13" t="s">
        <v>46</v>
      </c>
      <c r="R3" s="13" t="s">
        <v>47</v>
      </c>
      <c r="S3" s="13" t="s">
        <v>48</v>
      </c>
      <c r="T3" s="13" t="s">
        <v>49</v>
      </c>
      <c r="U3" s="13" t="s">
        <v>50</v>
      </c>
      <c r="V3" s="13" t="s">
        <v>51</v>
      </c>
      <c r="W3" s="13" t="s">
        <v>52</v>
      </c>
      <c r="X3" s="13" t="s">
        <v>53</v>
      </c>
      <c r="Y3" s="13" t="s">
        <v>54</v>
      </c>
      <c r="Z3" s="13" t="s">
        <v>55</v>
      </c>
      <c r="AA3" s="14"/>
      <c r="AB3" s="97" t="s">
        <v>29</v>
      </c>
      <c r="AC3" s="98" t="s">
        <v>36</v>
      </c>
      <c r="AD3" s="99" t="s">
        <v>35</v>
      </c>
    </row>
    <row r="4" spans="1:30" x14ac:dyDescent="0.2">
      <c r="A4" s="11"/>
      <c r="B4" s="15" t="s">
        <v>30</v>
      </c>
      <c r="C4" s="16">
        <v>5</v>
      </c>
      <c r="D4" s="16">
        <v>5</v>
      </c>
      <c r="E4" s="16">
        <v>5</v>
      </c>
      <c r="F4" s="16">
        <v>5</v>
      </c>
      <c r="G4" s="16">
        <v>5</v>
      </c>
      <c r="H4" s="16">
        <v>5</v>
      </c>
      <c r="I4" s="16">
        <v>5</v>
      </c>
      <c r="J4" s="16">
        <v>5</v>
      </c>
      <c r="K4" s="16">
        <v>5</v>
      </c>
      <c r="L4" s="16">
        <v>5</v>
      </c>
      <c r="M4" s="16">
        <v>5</v>
      </c>
      <c r="N4" s="16">
        <v>5</v>
      </c>
      <c r="O4" s="16">
        <v>5</v>
      </c>
      <c r="P4" s="16">
        <v>5</v>
      </c>
      <c r="Q4" s="16">
        <v>5</v>
      </c>
      <c r="R4" s="16">
        <v>5</v>
      </c>
      <c r="S4" s="16">
        <v>5</v>
      </c>
      <c r="T4" s="16">
        <v>5</v>
      </c>
      <c r="U4" s="16">
        <v>5</v>
      </c>
      <c r="V4" s="16">
        <v>5</v>
      </c>
      <c r="W4" s="16">
        <v>5</v>
      </c>
      <c r="X4" s="16">
        <v>5</v>
      </c>
      <c r="Y4" s="16">
        <v>5</v>
      </c>
      <c r="Z4" s="16">
        <v>5</v>
      </c>
      <c r="AA4" s="17"/>
      <c r="AB4" s="97"/>
      <c r="AC4" s="97"/>
      <c r="AD4" s="97"/>
    </row>
    <row r="5" spans="1:30" ht="6" customHeight="1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18">
        <f t="shared" ref="A6:A43" ca="1" si="0">OFFSET(A6,-1,0,1,1)+1</f>
        <v>1</v>
      </c>
      <c r="B6" s="38" t="str">
        <f>IF(Info!B6="Atlar şu ýeri","",Info!B6)</f>
        <v>Abdullaýewa Dinara</v>
      </c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20"/>
      <c r="AB6" s="21" t="str">
        <f t="shared" ref="AB6:AB33" si="1">IF(SUM(C6:Z6)=0,"",SUMPRODUCT(C6:Z6))</f>
        <v/>
      </c>
      <c r="AC6" s="22" t="str">
        <f t="shared" ref="AC6:AC33" si="2">IF(SUM(C6:Z6)=0,"",AB6/(SUMIF(C6:Z6,"&lt;&gt;",$C$4:$Z$4)-SUMIF(C6:Z6,"=E",$C$4:$Z$4)))</f>
        <v/>
      </c>
      <c r="AD6" s="23" t="str">
        <f>IF(AC6="","","   "&amp;INDEX(Results!$W$6:$W$18,MATCH(AC6,Results!$V$6:$V$18,1)))</f>
        <v/>
      </c>
    </row>
    <row r="7" spans="1:30" x14ac:dyDescent="0.2">
      <c r="A7" s="18">
        <f t="shared" ca="1" si="0"/>
        <v>2</v>
      </c>
      <c r="B7" s="38" t="str">
        <f>IF(Info!B7="Atlar şu ýeri","",Info!B7)</f>
        <v>Arslanow Yhlas</v>
      </c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20"/>
      <c r="AB7" s="21" t="str">
        <f t="shared" si="1"/>
        <v/>
      </c>
      <c r="AC7" s="22" t="str">
        <f t="shared" si="2"/>
        <v/>
      </c>
      <c r="AD7" s="23" t="str">
        <f>IF(AC7="","","   "&amp;INDEX(Results!$W$6:$W$18,MATCH(AC7,Results!$V$6:$V$18,1)))</f>
        <v/>
      </c>
    </row>
    <row r="8" spans="1:30" x14ac:dyDescent="0.2">
      <c r="A8" s="18">
        <f t="shared" ca="1" si="0"/>
        <v>3</v>
      </c>
      <c r="B8" s="38" t="str">
        <f>IF(Info!B8="Atlar şu ýeri","",Info!B8)</f>
        <v>Aşyrowa Maýsa</v>
      </c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20"/>
      <c r="AB8" s="21" t="str">
        <f t="shared" si="1"/>
        <v/>
      </c>
      <c r="AC8" s="22" t="str">
        <f t="shared" si="2"/>
        <v/>
      </c>
      <c r="AD8" s="23" t="str">
        <f>IF(AC8="","","   "&amp;INDEX(Results!$W$6:$W$18,MATCH(AC8,Results!$V$6:$V$18,1)))</f>
        <v/>
      </c>
    </row>
    <row r="9" spans="1:30" x14ac:dyDescent="0.2">
      <c r="A9" s="18">
        <f t="shared" ca="1" si="0"/>
        <v>4</v>
      </c>
      <c r="B9" s="38" t="str">
        <f>IF(Info!B9="Atlar şu ýeri","",Info!B9)</f>
        <v>Atabaýewa Ogulaý</v>
      </c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20"/>
      <c r="AB9" s="21" t="str">
        <f t="shared" si="1"/>
        <v/>
      </c>
      <c r="AC9" s="22" t="str">
        <f t="shared" si="2"/>
        <v/>
      </c>
      <c r="AD9" s="23" t="str">
        <f>IF(AC9="","","   "&amp;INDEX(Results!$W$6:$W$18,MATCH(AC9,Results!$V$6:$V$18,1)))</f>
        <v/>
      </c>
    </row>
    <row r="10" spans="1:30" x14ac:dyDescent="0.2">
      <c r="A10" s="18">
        <f t="shared" ca="1" si="0"/>
        <v>5</v>
      </c>
      <c r="B10" s="38" t="str">
        <f>IF(Info!B10="Atlar şu ýeri","",Info!B10)</f>
        <v>Atanazarow Meýlis</v>
      </c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20"/>
      <c r="AB10" s="21" t="str">
        <f t="shared" si="1"/>
        <v/>
      </c>
      <c r="AC10" s="22" t="str">
        <f t="shared" si="2"/>
        <v/>
      </c>
      <c r="AD10" s="23" t="str">
        <f>IF(AC10="","","   "&amp;INDEX(Results!$W$6:$W$18,MATCH(AC10,Results!$V$6:$V$18,1)))</f>
        <v/>
      </c>
    </row>
    <row r="11" spans="1:30" x14ac:dyDescent="0.2">
      <c r="A11" s="18">
        <f t="shared" ca="1" si="0"/>
        <v>6</v>
      </c>
      <c r="B11" s="38" t="str">
        <f>IF(Info!B11="Atlar şu ýeri","",Info!B11)</f>
        <v>Babajanowa Aýlar</v>
      </c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20"/>
      <c r="AB11" s="21" t="str">
        <f t="shared" si="1"/>
        <v/>
      </c>
      <c r="AC11" s="22" t="str">
        <f t="shared" si="2"/>
        <v/>
      </c>
      <c r="AD11" s="23" t="str">
        <f>IF(AC11="","","   "&amp;INDEX(Results!$W$6:$W$18,MATCH(AC11,Results!$V$6:$V$18,1)))</f>
        <v/>
      </c>
    </row>
    <row r="12" spans="1:30" x14ac:dyDescent="0.2">
      <c r="A12" s="18">
        <f t="shared" ca="1" si="0"/>
        <v>7</v>
      </c>
      <c r="B12" s="38" t="str">
        <f>IF(Info!B12="Atlar şu ýeri","",Info!B12)</f>
        <v>Babajanowa Selbi</v>
      </c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20"/>
      <c r="AB12" s="21" t="str">
        <f t="shared" si="1"/>
        <v/>
      </c>
      <c r="AC12" s="22" t="str">
        <f t="shared" si="2"/>
        <v/>
      </c>
      <c r="AD12" s="23" t="str">
        <f>IF(AC12="","","   "&amp;INDEX(Results!$W$6:$W$18,MATCH(AC12,Results!$V$6:$V$18,1)))</f>
        <v/>
      </c>
    </row>
    <row r="13" spans="1:30" x14ac:dyDescent="0.2">
      <c r="A13" s="18">
        <f t="shared" ca="1" si="0"/>
        <v>8</v>
      </c>
      <c r="B13" s="38" t="str">
        <f>IF(Info!B13="Atlar şu ýeri","",Info!B13)</f>
        <v>Ataýew Nurgeldi</v>
      </c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20"/>
      <c r="AB13" s="21" t="str">
        <f t="shared" si="1"/>
        <v/>
      </c>
      <c r="AC13" s="22" t="str">
        <f t="shared" si="2"/>
        <v/>
      </c>
      <c r="AD13" s="23" t="str">
        <f>IF(AC13="","","   "&amp;INDEX(Results!$W$6:$W$18,MATCH(AC13,Results!$V$6:$V$18,1)))</f>
        <v/>
      </c>
    </row>
    <row r="14" spans="1:30" x14ac:dyDescent="0.2">
      <c r="A14" s="18">
        <f t="shared" ca="1" si="0"/>
        <v>9</v>
      </c>
      <c r="B14" s="38" t="str">
        <f>IF(Info!B14="Atlar şu ýeri","",Info!B14)</f>
        <v>Batyrow Arafat</v>
      </c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20"/>
      <c r="AB14" s="21" t="str">
        <f t="shared" si="1"/>
        <v/>
      </c>
      <c r="AC14" s="22" t="str">
        <f t="shared" si="2"/>
        <v/>
      </c>
      <c r="AD14" s="23" t="str">
        <f>IF(AC14="","","   "&amp;INDEX(Results!$W$6:$W$18,MATCH(AC14,Results!$V$6:$V$18,1)))</f>
        <v/>
      </c>
    </row>
    <row r="15" spans="1:30" x14ac:dyDescent="0.2">
      <c r="A15" s="18">
        <f t="shared" ca="1" si="0"/>
        <v>10</v>
      </c>
      <c r="B15" s="38" t="str">
        <f>IF(Info!B15="Atlar şu ýeri","",Info!B15)</f>
        <v>Çaryýew Kemal</v>
      </c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20"/>
      <c r="AB15" s="21" t="str">
        <f t="shared" si="1"/>
        <v/>
      </c>
      <c r="AC15" s="22" t="str">
        <f t="shared" si="2"/>
        <v/>
      </c>
      <c r="AD15" s="23" t="str">
        <f>IF(AC15="","","   "&amp;INDEX(Results!$W$6:$W$18,MATCH(AC15,Results!$V$6:$V$18,1)))</f>
        <v/>
      </c>
    </row>
    <row r="16" spans="1:30" x14ac:dyDescent="0.2">
      <c r="A16" s="18">
        <f t="shared" ca="1" si="0"/>
        <v>11</v>
      </c>
      <c r="B16" s="38" t="str">
        <f>IF(Info!B16="Atlar şu ýeri","",Info!B16)</f>
        <v>Gurbanow Mekanmyrat</v>
      </c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20"/>
      <c r="AB16" s="21" t="str">
        <f t="shared" si="1"/>
        <v/>
      </c>
      <c r="AC16" s="22" t="str">
        <f t="shared" si="2"/>
        <v/>
      </c>
      <c r="AD16" s="23" t="str">
        <f>IF(AC16="","","   "&amp;INDEX(Results!$W$6:$W$18,MATCH(AC16,Results!$V$6:$V$18,1)))</f>
        <v/>
      </c>
    </row>
    <row r="17" spans="1:30" x14ac:dyDescent="0.2">
      <c r="A17" s="18">
        <f t="shared" ca="1" si="0"/>
        <v>12</v>
      </c>
      <c r="B17" s="38" t="str">
        <f>IF(Info!B17="Atlar şu ýeri","",Info!B17)</f>
        <v>Hojamuhammedow Guwanç</v>
      </c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20"/>
      <c r="AB17" s="21" t="str">
        <f t="shared" si="1"/>
        <v/>
      </c>
      <c r="AC17" s="22" t="str">
        <f t="shared" si="2"/>
        <v/>
      </c>
      <c r="AD17" s="23" t="str">
        <f>IF(AC17="","","   "&amp;INDEX(Results!$W$6:$W$18,MATCH(AC17,Results!$V$6:$V$18,1)))</f>
        <v/>
      </c>
    </row>
    <row r="18" spans="1:30" x14ac:dyDescent="0.2">
      <c r="A18" s="18">
        <f t="shared" ca="1" si="0"/>
        <v>13</v>
      </c>
      <c r="B18" s="38" t="str">
        <f>IF(Info!B18="Atlar şu ýeri","",Info!B18)</f>
        <v xml:space="preserve">Hojamämmedow  </v>
      </c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20"/>
      <c r="AB18" s="21" t="str">
        <f t="shared" si="1"/>
        <v/>
      </c>
      <c r="AC18" s="22" t="str">
        <f t="shared" si="2"/>
        <v/>
      </c>
      <c r="AD18" s="23" t="str">
        <f>IF(AC18="","","   "&amp;INDEX(Results!$W$6:$W$18,MATCH(AC18,Results!$V$6:$V$18,1)))</f>
        <v/>
      </c>
    </row>
    <row r="19" spans="1:30" x14ac:dyDescent="0.2">
      <c r="A19" s="18">
        <f t="shared" ca="1" si="0"/>
        <v>14</v>
      </c>
      <c r="B19" s="38" t="str">
        <f>IF(Info!B19="Atlar şu ýeri","",Info!B19)</f>
        <v>Hanowa Gülälek</v>
      </c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20"/>
      <c r="AB19" s="21" t="str">
        <f t="shared" si="1"/>
        <v/>
      </c>
      <c r="AC19" s="22" t="str">
        <f t="shared" si="2"/>
        <v/>
      </c>
      <c r="AD19" s="23" t="str">
        <f>IF(AC19="","","   "&amp;INDEX(Results!$W$6:$W$18,MATCH(AC19,Results!$V$6:$V$18,1)))</f>
        <v/>
      </c>
    </row>
    <row r="20" spans="1:30" x14ac:dyDescent="0.2">
      <c r="A20" s="18">
        <f t="shared" ca="1" si="0"/>
        <v>15</v>
      </c>
      <c r="B20" s="38" t="str">
        <f>IF(Info!B20="Atlar şu ýeri","",Info!B20)</f>
        <v>Husainow Serdar</v>
      </c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20"/>
      <c r="AB20" s="21" t="str">
        <f t="shared" si="1"/>
        <v/>
      </c>
      <c r="AC20" s="22" t="str">
        <f t="shared" si="2"/>
        <v/>
      </c>
      <c r="AD20" s="23" t="str">
        <f>IF(AC20="","","   "&amp;INDEX(Results!$W$6:$W$18,MATCH(AC20,Results!$V$6:$V$18,1)))</f>
        <v/>
      </c>
    </row>
    <row r="21" spans="1:30" x14ac:dyDescent="0.2">
      <c r="A21" s="18">
        <f t="shared" ca="1" si="0"/>
        <v>16</v>
      </c>
      <c r="B21" s="38" t="str">
        <f>IF(Info!B21="Atlar şu ýeri","",Info!B21)</f>
        <v>Orunowa Täçbibi</v>
      </c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20"/>
      <c r="AB21" s="21" t="str">
        <f t="shared" si="1"/>
        <v/>
      </c>
      <c r="AC21" s="22" t="str">
        <f t="shared" si="2"/>
        <v/>
      </c>
      <c r="AD21" s="23" t="str">
        <f>IF(AC21="","","   "&amp;INDEX(Results!$W$6:$W$18,MATCH(AC21,Results!$V$6:$V$18,1)))</f>
        <v/>
      </c>
    </row>
    <row r="22" spans="1:30" x14ac:dyDescent="0.2">
      <c r="A22" s="18">
        <f t="shared" ca="1" si="0"/>
        <v>17</v>
      </c>
      <c r="B22" s="38" t="str">
        <f>IF(Info!B22="Atlar şu ýeri","",Info!B22)</f>
        <v>Ilýasow Älem</v>
      </c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20"/>
      <c r="AB22" s="21" t="str">
        <f t="shared" si="1"/>
        <v/>
      </c>
      <c r="AC22" s="22" t="str">
        <f t="shared" si="2"/>
        <v/>
      </c>
      <c r="AD22" s="23" t="str">
        <f>IF(AC22="","","   "&amp;INDEX(Results!$W$6:$W$18,MATCH(AC22,Results!$V$6:$V$18,1)))</f>
        <v/>
      </c>
    </row>
    <row r="23" spans="1:30" x14ac:dyDescent="0.2">
      <c r="A23" s="18">
        <f t="shared" ca="1" si="0"/>
        <v>18</v>
      </c>
      <c r="B23" s="38" t="str">
        <f>IF(Info!B23="Atlar şu ýeri","",Info!B23)</f>
        <v>Karabaýew Begli</v>
      </c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20"/>
      <c r="AB23" s="21" t="str">
        <f t="shared" si="1"/>
        <v/>
      </c>
      <c r="AC23" s="22" t="str">
        <f t="shared" si="2"/>
        <v/>
      </c>
      <c r="AD23" s="23" t="str">
        <f>IF(AC23="","","   "&amp;INDEX(Results!$W$6:$W$18,MATCH(AC23,Results!$V$6:$V$18,1)))</f>
        <v/>
      </c>
    </row>
    <row r="24" spans="1:30" x14ac:dyDescent="0.2">
      <c r="A24" s="18">
        <f t="shared" ca="1" si="0"/>
        <v>19</v>
      </c>
      <c r="B24" s="38" t="str">
        <f>IF(Info!B24="Atlar şu ýeri","",Info!B24)</f>
        <v>Kurbanow Wekil</v>
      </c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20"/>
      <c r="AB24" s="21" t="str">
        <f t="shared" si="1"/>
        <v/>
      </c>
      <c r="AC24" s="22" t="str">
        <f t="shared" si="2"/>
        <v/>
      </c>
      <c r="AD24" s="23" t="str">
        <f>IF(AC24="","","   "&amp;INDEX(Results!$W$6:$W$18,MATCH(AC24,Results!$V$6:$V$18,1)))</f>
        <v/>
      </c>
    </row>
    <row r="25" spans="1:30" x14ac:dyDescent="0.2">
      <c r="A25" s="18">
        <f t="shared" ca="1" si="0"/>
        <v>20</v>
      </c>
      <c r="B25" s="38" t="str">
        <f>IF(Info!B25="Atlar şu ýeri","",Info!B25)</f>
        <v>Madraimow Seidjan</v>
      </c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20"/>
      <c r="AB25" s="21" t="str">
        <f t="shared" si="1"/>
        <v/>
      </c>
      <c r="AC25" s="22" t="str">
        <f t="shared" si="2"/>
        <v/>
      </c>
      <c r="AD25" s="23" t="str">
        <f>IF(AC25="","","   "&amp;INDEX(Results!$W$6:$W$18,MATCH(AC25,Results!$V$6:$V$18,1)))</f>
        <v/>
      </c>
    </row>
    <row r="26" spans="1:30" x14ac:dyDescent="0.2">
      <c r="A26" s="18">
        <f t="shared" ca="1" si="0"/>
        <v>21</v>
      </c>
      <c r="B26" s="38" t="str">
        <f>IF(Info!B26="Atlar şu ýeri","",Info!B26)</f>
        <v>Matmuradowa Gulnur</v>
      </c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20"/>
      <c r="AB26" s="21" t="str">
        <f t="shared" si="1"/>
        <v/>
      </c>
      <c r="AC26" s="22" t="str">
        <f t="shared" si="2"/>
        <v/>
      </c>
      <c r="AD26" s="23" t="str">
        <f>IF(AC26="","","   "&amp;INDEX(Results!$W$6:$W$18,MATCH(AC26,Results!$V$6:$V$18,1)))</f>
        <v/>
      </c>
    </row>
    <row r="27" spans="1:30" x14ac:dyDescent="0.2">
      <c r="A27" s="18">
        <f t="shared" ca="1" si="0"/>
        <v>22</v>
      </c>
      <c r="B27" s="38" t="str">
        <f>IF(Info!B27="Atlar şu ýeri","",Info!B27)</f>
        <v>Myradowa Aýjahan</v>
      </c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20"/>
      <c r="AB27" s="21" t="str">
        <f t="shared" si="1"/>
        <v/>
      </c>
      <c r="AC27" s="22" t="str">
        <f t="shared" si="2"/>
        <v/>
      </c>
      <c r="AD27" s="23" t="str">
        <f>IF(AC27="","","   "&amp;INDEX(Results!$W$6:$W$18,MATCH(AC27,Results!$V$6:$V$18,1)))</f>
        <v/>
      </c>
    </row>
    <row r="28" spans="1:30" x14ac:dyDescent="0.2">
      <c r="A28" s="18">
        <f t="shared" ca="1" si="0"/>
        <v>23</v>
      </c>
      <c r="B28" s="38" t="str">
        <f>IF(Info!B28="Atlar şu ýeri","",Info!B28)</f>
        <v>Osmanowa Ýyldyz</v>
      </c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20"/>
      <c r="AB28" s="21" t="str">
        <f t="shared" si="1"/>
        <v/>
      </c>
      <c r="AC28" s="22" t="str">
        <f t="shared" si="2"/>
        <v/>
      </c>
      <c r="AD28" s="23" t="str">
        <f>IF(AC28="","","   "&amp;INDEX(Results!$W$6:$W$18,MATCH(AC28,Results!$V$6:$V$18,1)))</f>
        <v/>
      </c>
    </row>
    <row r="29" spans="1:30" x14ac:dyDescent="0.2">
      <c r="A29" s="18">
        <f t="shared" ca="1" si="0"/>
        <v>24</v>
      </c>
      <c r="B29" s="38" t="str">
        <f>IF(Info!B29="Atlar şu ýeri","",Info!B29)</f>
        <v>Orazowa Aýnur</v>
      </c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20"/>
      <c r="AB29" s="21" t="str">
        <f t="shared" si="1"/>
        <v/>
      </c>
      <c r="AC29" s="22" t="str">
        <f t="shared" si="2"/>
        <v/>
      </c>
      <c r="AD29" s="23" t="str">
        <f>IF(AC29="","","   "&amp;INDEX(Results!$W$6:$W$18,MATCH(AC29,Results!$V$6:$V$18,1)))</f>
        <v/>
      </c>
    </row>
    <row r="30" spans="1:30" x14ac:dyDescent="0.2">
      <c r="A30" s="18">
        <f t="shared" ca="1" si="0"/>
        <v>25</v>
      </c>
      <c r="B30" s="38" t="str">
        <f>IF(Info!B30="Atlar şu ýeri","",Info!B30)</f>
        <v>Orunowa Aýjemal</v>
      </c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20"/>
      <c r="AB30" s="21" t="str">
        <f t="shared" si="1"/>
        <v/>
      </c>
      <c r="AC30" s="22" t="str">
        <f t="shared" si="2"/>
        <v/>
      </c>
      <c r="AD30" s="23" t="str">
        <f>IF(AC30="","","   "&amp;INDEX(Results!$W$6:$W$18,MATCH(AC30,Results!$V$6:$V$18,1)))</f>
        <v/>
      </c>
    </row>
    <row r="31" spans="1:30" x14ac:dyDescent="0.2">
      <c r="A31" s="18">
        <f t="shared" ca="1" si="0"/>
        <v>26</v>
      </c>
      <c r="B31" s="38" t="str">
        <f>IF(Info!B31="Atlar şu ýeri","",Info!B31)</f>
        <v>Öwezow Döwlet</v>
      </c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20"/>
      <c r="AB31" s="21" t="str">
        <f t="shared" si="1"/>
        <v/>
      </c>
      <c r="AC31" s="22" t="str">
        <f t="shared" si="2"/>
        <v/>
      </c>
      <c r="AD31" s="23" t="str">
        <f>IF(AC31="","","   "&amp;INDEX(Results!$W$6:$W$18,MATCH(AC31,Results!$V$6:$V$18,1)))</f>
        <v/>
      </c>
    </row>
    <row r="32" spans="1:30" x14ac:dyDescent="0.2">
      <c r="A32" s="18">
        <f t="shared" ca="1" si="0"/>
        <v>27</v>
      </c>
      <c r="B32" s="38" t="str">
        <f>IF(Info!B32="Atlar şu ýeri","",Info!B32)</f>
        <v>Piriýew Aýhan</v>
      </c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20"/>
      <c r="AB32" s="21" t="str">
        <f t="shared" si="1"/>
        <v/>
      </c>
      <c r="AC32" s="22" t="str">
        <f t="shared" si="2"/>
        <v/>
      </c>
      <c r="AD32" s="23" t="str">
        <f>IF(AC32="","","   "&amp;INDEX(Results!$W$6:$W$18,MATCH(AC32,Results!$V$6:$V$18,1)))</f>
        <v/>
      </c>
    </row>
    <row r="33" spans="1:30" x14ac:dyDescent="0.2">
      <c r="A33" s="18">
        <f t="shared" ca="1" si="0"/>
        <v>28</v>
      </c>
      <c r="B33" s="38" t="str">
        <f>IF(Info!B33="Atlar şu ýeri","",Info!B33)</f>
        <v>Taganow Sanjar</v>
      </c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20"/>
      <c r="AB33" s="21" t="str">
        <f t="shared" si="1"/>
        <v/>
      </c>
      <c r="AC33" s="22" t="str">
        <f t="shared" si="2"/>
        <v/>
      </c>
      <c r="AD33" s="23" t="str">
        <f>IF(AC33="","","   "&amp;INDEX(Results!$W$6:$W$18,MATCH(AC33,Results!$V$6:$V$18,1)))</f>
        <v/>
      </c>
    </row>
    <row r="34" spans="1:30" x14ac:dyDescent="0.2">
      <c r="A34" s="18">
        <f t="shared" ca="1" si="0"/>
        <v>29</v>
      </c>
      <c r="B34" s="38" t="str">
        <f>IF(Info!B40="Atlar şu ýeri","",Info!B40)</f>
        <v/>
      </c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20"/>
      <c r="AB34" s="21"/>
      <c r="AC34" s="22"/>
      <c r="AD34" s="23"/>
    </row>
    <row r="35" spans="1:30" x14ac:dyDescent="0.2">
      <c r="A35" s="18">
        <f t="shared" ca="1" si="0"/>
        <v>30</v>
      </c>
      <c r="B35" s="38" t="str">
        <f>IF(Info!B35="Atlar şu ýeri","",Info!B35)</f>
        <v>Ýagşybaýew Muhammet</v>
      </c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20"/>
      <c r="AB35" s="21"/>
      <c r="AC35" s="22"/>
      <c r="AD35" s="23"/>
    </row>
    <row r="36" spans="1:30" ht="6.75" customHeight="1" x14ac:dyDescent="0.2">
      <c r="A36" s="18">
        <f t="shared" ca="1" si="0"/>
        <v>31</v>
      </c>
      <c r="B36" s="38" t="str">
        <f>IF(Info!B36="Atlar şu ýeri","",Info!B36)</f>
        <v>Ýazberdiýewa Söýli</v>
      </c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20"/>
      <c r="AB36" s="21"/>
      <c r="AC36" s="22"/>
      <c r="AD36" s="23"/>
    </row>
    <row r="37" spans="1:30" x14ac:dyDescent="0.2">
      <c r="A37" s="18">
        <f t="shared" ca="1" si="0"/>
        <v>32</v>
      </c>
      <c r="B37" s="38" t="str">
        <f>IF(Info!B37="Atlar şu ýeri","",Info!B37)</f>
        <v>Ýazyýewa Meňli</v>
      </c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20"/>
      <c r="AB37" s="21"/>
      <c r="AC37" s="22"/>
      <c r="AD37" s="23"/>
    </row>
    <row r="38" spans="1:30" x14ac:dyDescent="0.2">
      <c r="A38" s="18">
        <f t="shared" ca="1" si="0"/>
        <v>33</v>
      </c>
      <c r="B38" s="38" t="str">
        <f>IF(Info!B38="Atlar şu ýeri","",Info!B38)</f>
        <v>Ýunusow Ýunus</v>
      </c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20"/>
      <c r="AB38" s="21"/>
      <c r="AC38" s="22"/>
      <c r="AD38" s="23"/>
    </row>
    <row r="39" spans="1:30" x14ac:dyDescent="0.2">
      <c r="A39" s="18">
        <f t="shared" ca="1" si="0"/>
        <v>34</v>
      </c>
      <c r="B39" s="38" t="str">
        <f>IF(Info!B39="Atlar şu ýeri","",Info!B39)</f>
        <v>Ýusupowa  Jahan</v>
      </c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20"/>
      <c r="AB39" s="21"/>
      <c r="AC39" s="22"/>
      <c r="AD39" s="23"/>
    </row>
    <row r="40" spans="1:30" x14ac:dyDescent="0.2">
      <c r="A40" s="18">
        <f t="shared" ca="1" si="0"/>
        <v>35</v>
      </c>
      <c r="B40" s="38" t="str">
        <f>IF(Info!B40="Atlar şu ýeri","",Info!B40)</f>
        <v/>
      </c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20"/>
      <c r="AB40" s="21"/>
      <c r="AC40" s="22"/>
      <c r="AD40" s="23"/>
    </row>
    <row r="41" spans="1:30" x14ac:dyDescent="0.2">
      <c r="A41" s="18">
        <f t="shared" ca="1" si="0"/>
        <v>36</v>
      </c>
      <c r="B41" s="38" t="str">
        <f>IF(Info!B41="Atlar şu ýeri","",Info!B41)</f>
        <v/>
      </c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20"/>
      <c r="AB41" s="21"/>
      <c r="AC41" s="22"/>
      <c r="AD41" s="23"/>
    </row>
    <row r="42" spans="1:30" x14ac:dyDescent="0.2">
      <c r="A42" s="18">
        <f t="shared" ca="1" si="0"/>
        <v>37</v>
      </c>
      <c r="B42" s="38" t="str">
        <f>IF(Info!B42="Atlar şu ýeri","",Info!B42)</f>
        <v/>
      </c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20"/>
      <c r="AB42" s="21"/>
      <c r="AC42" s="22"/>
      <c r="AD42" s="23"/>
    </row>
    <row r="43" spans="1:30" x14ac:dyDescent="0.2">
      <c r="A43" s="18">
        <f t="shared" ca="1" si="0"/>
        <v>38</v>
      </c>
      <c r="B43" s="38" t="str">
        <f>IF(Info!B43="Atlar şu ýeri","",Info!B43)</f>
        <v/>
      </c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20"/>
      <c r="AB43" s="21"/>
      <c r="AC43" s="22"/>
      <c r="AD43" s="23"/>
    </row>
  </sheetData>
  <mergeCells count="4">
    <mergeCell ref="AB3:AB4"/>
    <mergeCell ref="AC3:AC4"/>
    <mergeCell ref="AD3:AD4"/>
    <mergeCell ref="C1:T1"/>
  </mergeCell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F49"/>
  <sheetViews>
    <sheetView workbookViewId="0">
      <selection activeCell="V26" sqref="V26"/>
    </sheetView>
  </sheetViews>
  <sheetFormatPr defaultRowHeight="12.75" x14ac:dyDescent="0.2"/>
  <cols>
    <col min="1" max="1" width="3.7109375" style="1" customWidth="1"/>
    <col min="2" max="2" width="37.42578125" style="1" bestFit="1" customWidth="1"/>
    <col min="3" max="3" width="9" style="1" bestFit="1" customWidth="1"/>
    <col min="4" max="16" width="9" style="1" customWidth="1"/>
    <col min="17" max="18" width="7.140625" style="1" customWidth="1"/>
    <col min="19" max="19" width="7.85546875" style="1" bestFit="1" customWidth="1"/>
    <col min="20" max="26" width="7.140625" style="1" customWidth="1"/>
    <col min="27" max="27" width="1.42578125" style="1" customWidth="1"/>
    <col min="28" max="28" width="7.5703125" style="1" customWidth="1"/>
    <col min="29" max="29" width="10.5703125" style="1" bestFit="1" customWidth="1"/>
    <col min="30" max="30" width="6.85546875" style="1" customWidth="1"/>
    <col min="31" max="31" width="5.28515625" style="1" customWidth="1"/>
    <col min="32" max="32" width="16.7109375" style="1" customWidth="1"/>
    <col min="33" max="16384" width="9.140625" style="1"/>
  </cols>
  <sheetData>
    <row r="1" spans="1:30" ht="19.5" x14ac:dyDescent="0.3">
      <c r="A1" s="2"/>
      <c r="B1" s="3" t="s">
        <v>153</v>
      </c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87"/>
      <c r="V1" s="87"/>
      <c r="W1" s="4"/>
      <c r="X1" s="4"/>
      <c r="Y1" s="4"/>
      <c r="Z1" s="4"/>
      <c r="AA1" s="4"/>
      <c r="AB1" s="4"/>
      <c r="AC1" s="6"/>
      <c r="AD1" s="6"/>
    </row>
    <row r="2" spans="1:30" ht="15" x14ac:dyDescent="0.25">
      <c r="A2" s="2"/>
      <c r="B2" s="7" t="s">
        <v>169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10"/>
    </row>
    <row r="3" spans="1:30" ht="42" customHeight="1" x14ac:dyDescent="0.25">
      <c r="A3" s="11"/>
      <c r="B3" s="12" t="s">
        <v>148</v>
      </c>
      <c r="C3" s="13" t="s">
        <v>124</v>
      </c>
      <c r="D3" s="13" t="s">
        <v>125</v>
      </c>
      <c r="E3" s="13" t="s">
        <v>126</v>
      </c>
      <c r="F3" s="13" t="s">
        <v>127</v>
      </c>
      <c r="G3" s="13" t="s">
        <v>128</v>
      </c>
      <c r="H3" s="13" t="s">
        <v>129</v>
      </c>
      <c r="I3" s="13" t="s">
        <v>130</v>
      </c>
      <c r="J3" s="13" t="s">
        <v>131</v>
      </c>
      <c r="K3" s="13" t="s">
        <v>132</v>
      </c>
      <c r="L3" s="13" t="s">
        <v>133</v>
      </c>
      <c r="M3" s="13" t="s">
        <v>134</v>
      </c>
      <c r="N3" s="13" t="s">
        <v>135</v>
      </c>
      <c r="O3" s="13" t="s">
        <v>136</v>
      </c>
      <c r="P3" s="13" t="s">
        <v>137</v>
      </c>
      <c r="Q3" s="13" t="s">
        <v>138</v>
      </c>
      <c r="R3" s="13" t="s">
        <v>139</v>
      </c>
      <c r="S3" s="13" t="s">
        <v>140</v>
      </c>
      <c r="T3" s="13" t="s">
        <v>141</v>
      </c>
      <c r="U3" s="13" t="s">
        <v>142</v>
      </c>
      <c r="V3" s="13" t="s">
        <v>143</v>
      </c>
      <c r="W3" s="13" t="s">
        <v>144</v>
      </c>
      <c r="X3" s="13" t="s">
        <v>145</v>
      </c>
      <c r="Y3" s="13" t="s">
        <v>146</v>
      </c>
      <c r="Z3" s="13" t="s">
        <v>147</v>
      </c>
      <c r="AA3" s="14"/>
      <c r="AB3" s="97" t="s">
        <v>156</v>
      </c>
      <c r="AC3" s="98" t="s">
        <v>157</v>
      </c>
      <c r="AD3" s="99" t="s">
        <v>158</v>
      </c>
    </row>
    <row r="4" spans="1:30" x14ac:dyDescent="0.2">
      <c r="A4" s="11"/>
      <c r="B4" s="15" t="s">
        <v>154</v>
      </c>
      <c r="C4" s="16">
        <v>5</v>
      </c>
      <c r="D4" s="16">
        <v>5</v>
      </c>
      <c r="E4" s="16">
        <v>5</v>
      </c>
      <c r="F4" s="16">
        <v>5</v>
      </c>
      <c r="G4" s="16">
        <v>5</v>
      </c>
      <c r="H4" s="16">
        <v>5</v>
      </c>
      <c r="I4" s="16">
        <v>5</v>
      </c>
      <c r="J4" s="16">
        <v>5</v>
      </c>
      <c r="K4" s="16">
        <v>5</v>
      </c>
      <c r="L4" s="16">
        <v>5</v>
      </c>
      <c r="M4" s="16">
        <v>5</v>
      </c>
      <c r="N4" s="16">
        <v>5</v>
      </c>
      <c r="O4" s="16">
        <v>5</v>
      </c>
      <c r="P4" s="16">
        <v>5</v>
      </c>
      <c r="Q4" s="16">
        <v>5</v>
      </c>
      <c r="R4" s="16">
        <v>5</v>
      </c>
      <c r="S4" s="16">
        <v>5</v>
      </c>
      <c r="T4" s="16">
        <v>5</v>
      </c>
      <c r="U4" s="16">
        <v>5</v>
      </c>
      <c r="V4" s="16">
        <v>5</v>
      </c>
      <c r="W4" s="16">
        <v>5</v>
      </c>
      <c r="X4" s="16">
        <v>5</v>
      </c>
      <c r="Y4" s="16">
        <v>5</v>
      </c>
      <c r="Z4" s="16">
        <v>5</v>
      </c>
      <c r="AA4" s="17"/>
      <c r="AB4" s="97"/>
      <c r="AC4" s="97"/>
      <c r="AD4" s="97"/>
    </row>
    <row r="5" spans="1:30" ht="6" customHeight="1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18">
        <f t="shared" ref="A6:A45" ca="1" si="0">OFFSET(A6,-1,0,1,1)+1</f>
        <v>1</v>
      </c>
      <c r="B6" s="38" t="str">
        <f>IF(Info!B6="Atlar şu ýeri","",Info!B6)</f>
        <v>Abdullaýewa Dinara</v>
      </c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20"/>
      <c r="AB6" s="21" t="str">
        <f>IF(SUM(C6:Z6)=0,"",SUMPRODUCT(C6:Z6))</f>
        <v/>
      </c>
      <c r="AC6" s="22" t="str">
        <f>IF(SUM(C6:Z6)=0,"",AB6/(SUMIF(C6:Z6,"&lt;&gt;",$C$4:$Z$4)-SUMIF(C6:Z6,"=E",$C$4:$Z$4)))</f>
        <v/>
      </c>
      <c r="AD6" s="23" t="str">
        <f>IF(AC6="","","   "&amp;INDEX(Results!$W$6:$W$18,MATCH(AC6,Results!$V$6:$V$18,1)))</f>
        <v/>
      </c>
    </row>
    <row r="7" spans="1:30" x14ac:dyDescent="0.2">
      <c r="A7" s="18">
        <f t="shared" ca="1" si="0"/>
        <v>2</v>
      </c>
      <c r="B7" s="38" t="str">
        <f>IF(Info!B7="Atlar şu ýeri","",Info!B7)</f>
        <v>Arslanow Yhlas</v>
      </c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20"/>
      <c r="AB7" s="21" t="str">
        <f t="shared" ref="AB7:AB45" si="1">IF(SUM(C7:Z7)=0,"",SUMPRODUCT(C7:Z7))</f>
        <v/>
      </c>
      <c r="AC7" s="22" t="str">
        <f t="shared" ref="AC7:AC45" si="2">IF(SUM(C7:Z7)=0,"",AB7/(SUMIF(C7:Z7,"&lt;&gt;",$C$4:$Z$4)-SUMIF(C7:Z7,"=E",$C$4:$Z$4)))</f>
        <v/>
      </c>
      <c r="AD7" s="23" t="str">
        <f>IF(AC7="","","   "&amp;INDEX(Results!$W$6:$W$18,MATCH(AC7,Results!$V$6:$V$18,1)))</f>
        <v/>
      </c>
    </row>
    <row r="8" spans="1:30" x14ac:dyDescent="0.2">
      <c r="A8" s="18">
        <f t="shared" ca="1" si="0"/>
        <v>3</v>
      </c>
      <c r="B8" s="38" t="str">
        <f>IF(Info!B8="Atlar şu ýeri","",Info!B8)</f>
        <v>Aşyrowa Maýsa</v>
      </c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20"/>
      <c r="AB8" s="21" t="str">
        <f t="shared" si="1"/>
        <v/>
      </c>
      <c r="AC8" s="22" t="str">
        <f t="shared" si="2"/>
        <v/>
      </c>
      <c r="AD8" s="23" t="str">
        <f>IF(AC8="","","   "&amp;INDEX(Results!$W$6:$W$18,MATCH(AC8,Results!$V$6:$V$18,1)))</f>
        <v/>
      </c>
    </row>
    <row r="9" spans="1:30" x14ac:dyDescent="0.2">
      <c r="A9" s="18">
        <f t="shared" ca="1" si="0"/>
        <v>4</v>
      </c>
      <c r="B9" s="38" t="str">
        <f>IF(Info!B9="Atlar şu ýeri","",Info!B9)</f>
        <v>Atabaýewa Ogulaý</v>
      </c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20"/>
      <c r="AB9" s="21" t="str">
        <f t="shared" si="1"/>
        <v/>
      </c>
      <c r="AC9" s="22" t="str">
        <f t="shared" si="2"/>
        <v/>
      </c>
      <c r="AD9" s="23" t="str">
        <f>IF(AC9="","","   "&amp;INDEX(Results!$W$6:$W$18,MATCH(AC9,Results!$V$6:$V$18,1)))</f>
        <v/>
      </c>
    </row>
    <row r="10" spans="1:30" x14ac:dyDescent="0.2">
      <c r="A10" s="18">
        <f t="shared" ca="1" si="0"/>
        <v>5</v>
      </c>
      <c r="B10" s="38" t="str">
        <f>IF(Info!B10="Atlar şu ýeri","",Info!B10)</f>
        <v>Atanazarow Meýlis</v>
      </c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20"/>
      <c r="AB10" s="21" t="str">
        <f t="shared" si="1"/>
        <v/>
      </c>
      <c r="AC10" s="22" t="str">
        <f t="shared" si="2"/>
        <v/>
      </c>
      <c r="AD10" s="23" t="str">
        <f>IF(AC10="","","   "&amp;INDEX(Results!$W$6:$W$18,MATCH(AC10,Results!$V$6:$V$18,1)))</f>
        <v/>
      </c>
    </row>
    <row r="11" spans="1:30" x14ac:dyDescent="0.2">
      <c r="A11" s="18">
        <f t="shared" ca="1" si="0"/>
        <v>6</v>
      </c>
      <c r="B11" s="38" t="str">
        <f>IF(Info!B11="Atlar şu ýeri","",Info!B11)</f>
        <v>Babajanowa Aýlar</v>
      </c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20"/>
      <c r="AB11" s="21" t="str">
        <f t="shared" si="1"/>
        <v/>
      </c>
      <c r="AC11" s="22" t="str">
        <f t="shared" si="2"/>
        <v/>
      </c>
      <c r="AD11" s="23" t="str">
        <f>IF(AC11="","","   "&amp;INDEX(Results!$W$6:$W$18,MATCH(AC11,Results!$V$6:$V$18,1)))</f>
        <v/>
      </c>
    </row>
    <row r="12" spans="1:30" x14ac:dyDescent="0.2">
      <c r="A12" s="18">
        <f t="shared" ca="1" si="0"/>
        <v>7</v>
      </c>
      <c r="B12" s="38" t="str">
        <f>IF(Info!B12="Atlar şu ýeri","",Info!B12)</f>
        <v>Babajanowa Selbi</v>
      </c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20"/>
      <c r="AB12" s="21" t="str">
        <f t="shared" si="1"/>
        <v/>
      </c>
      <c r="AC12" s="22" t="str">
        <f t="shared" si="2"/>
        <v/>
      </c>
      <c r="AD12" s="23" t="str">
        <f>IF(AC12="","","   "&amp;INDEX(Results!$W$6:$W$18,MATCH(AC12,Results!$V$6:$V$18,1)))</f>
        <v/>
      </c>
    </row>
    <row r="13" spans="1:30" x14ac:dyDescent="0.2">
      <c r="A13" s="18">
        <f t="shared" ca="1" si="0"/>
        <v>8</v>
      </c>
      <c r="B13" s="38" t="str">
        <f>IF(Info!B13="Atlar şu ýeri","",Info!B13)</f>
        <v>Ataýew Nurgeldi</v>
      </c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20"/>
      <c r="AB13" s="21" t="str">
        <f t="shared" si="1"/>
        <v/>
      </c>
      <c r="AC13" s="22" t="str">
        <f t="shared" si="2"/>
        <v/>
      </c>
      <c r="AD13" s="23" t="str">
        <f>IF(AC13="","","   "&amp;INDEX(Results!$W$6:$W$18,MATCH(AC13,Results!$V$6:$V$18,1)))</f>
        <v/>
      </c>
    </row>
    <row r="14" spans="1:30" x14ac:dyDescent="0.2">
      <c r="A14" s="18">
        <f t="shared" ca="1" si="0"/>
        <v>9</v>
      </c>
      <c r="B14" s="38" t="str">
        <f>IF(Info!B14="Atlar şu ýeri","",Info!B14)</f>
        <v>Batyrow Arafat</v>
      </c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20"/>
      <c r="AB14" s="21" t="str">
        <f t="shared" si="1"/>
        <v/>
      </c>
      <c r="AC14" s="22" t="str">
        <f t="shared" si="2"/>
        <v/>
      </c>
      <c r="AD14" s="23" t="str">
        <f>IF(AC14="","","   "&amp;INDEX(Results!$W$6:$W$18,MATCH(AC14,Results!$V$6:$V$18,1)))</f>
        <v/>
      </c>
    </row>
    <row r="15" spans="1:30" x14ac:dyDescent="0.2">
      <c r="A15" s="18">
        <f t="shared" ca="1" si="0"/>
        <v>10</v>
      </c>
      <c r="B15" s="38" t="str">
        <f>IF(Info!B15="Atlar şu ýeri","",Info!B15)</f>
        <v>Çaryýew Kemal</v>
      </c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20"/>
      <c r="AB15" s="21" t="str">
        <f t="shared" si="1"/>
        <v/>
      </c>
      <c r="AC15" s="22" t="str">
        <f t="shared" si="2"/>
        <v/>
      </c>
      <c r="AD15" s="23" t="str">
        <f>IF(AC15="","","   "&amp;INDEX(Results!$W$6:$W$18,MATCH(AC15,Results!$V$6:$V$18,1)))</f>
        <v/>
      </c>
    </row>
    <row r="16" spans="1:30" x14ac:dyDescent="0.2">
      <c r="A16" s="18">
        <f t="shared" ca="1" si="0"/>
        <v>11</v>
      </c>
      <c r="B16" s="38" t="str">
        <f>IF(Info!B16="Atlar şu ýeri","",Info!B16)</f>
        <v>Gurbanow Mekanmyrat</v>
      </c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20"/>
      <c r="AB16" s="21" t="str">
        <f t="shared" si="1"/>
        <v/>
      </c>
      <c r="AC16" s="22" t="str">
        <f t="shared" si="2"/>
        <v/>
      </c>
      <c r="AD16" s="23" t="str">
        <f>IF(AC16="","","   "&amp;INDEX(Results!$W$6:$W$18,MATCH(AC16,Results!$V$6:$V$18,1)))</f>
        <v/>
      </c>
    </row>
    <row r="17" spans="1:30" x14ac:dyDescent="0.2">
      <c r="A17" s="18">
        <f t="shared" ca="1" si="0"/>
        <v>12</v>
      </c>
      <c r="B17" s="38" t="str">
        <f>IF(Info!B17="Atlar şu ýeri","",Info!B17)</f>
        <v>Hojamuhammedow Guwanç</v>
      </c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20"/>
      <c r="AB17" s="21" t="str">
        <f t="shared" si="1"/>
        <v/>
      </c>
      <c r="AC17" s="22" t="str">
        <f t="shared" si="2"/>
        <v/>
      </c>
      <c r="AD17" s="23" t="str">
        <f>IF(AC17="","","   "&amp;INDEX(Results!$W$6:$W$18,MATCH(AC17,Results!$V$6:$V$18,1)))</f>
        <v/>
      </c>
    </row>
    <row r="18" spans="1:30" x14ac:dyDescent="0.2">
      <c r="A18" s="18">
        <f t="shared" ca="1" si="0"/>
        <v>13</v>
      </c>
      <c r="B18" s="38" t="str">
        <f>IF(Info!B18="Atlar şu ýeri","",Info!B18)</f>
        <v xml:space="preserve">Hojamämmedow  </v>
      </c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20"/>
      <c r="AB18" s="21" t="str">
        <f t="shared" si="1"/>
        <v/>
      </c>
      <c r="AC18" s="22" t="str">
        <f t="shared" si="2"/>
        <v/>
      </c>
      <c r="AD18" s="23" t="str">
        <f>IF(AC18="","","   "&amp;INDEX(Results!$W$6:$W$18,MATCH(AC18,Results!$V$6:$V$18,1)))</f>
        <v/>
      </c>
    </row>
    <row r="19" spans="1:30" x14ac:dyDescent="0.2">
      <c r="A19" s="18">
        <f t="shared" ca="1" si="0"/>
        <v>14</v>
      </c>
      <c r="B19" s="38" t="str">
        <f>IF(Info!B19="Atlar şu ýeri","",Info!B19)</f>
        <v>Hanowa Gülälek</v>
      </c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20"/>
      <c r="AB19" s="21" t="str">
        <f t="shared" si="1"/>
        <v/>
      </c>
      <c r="AC19" s="22" t="str">
        <f t="shared" si="2"/>
        <v/>
      </c>
      <c r="AD19" s="23" t="str">
        <f>IF(AC19="","","   "&amp;INDEX(Results!$W$6:$W$18,MATCH(AC19,Results!$V$6:$V$18,1)))</f>
        <v/>
      </c>
    </row>
    <row r="20" spans="1:30" x14ac:dyDescent="0.2">
      <c r="A20" s="18">
        <f t="shared" ca="1" si="0"/>
        <v>15</v>
      </c>
      <c r="B20" s="38" t="str">
        <f>IF(Info!B20="Atlar şu ýeri","",Info!B20)</f>
        <v>Husainow Serdar</v>
      </c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20"/>
      <c r="AB20" s="21" t="str">
        <f t="shared" si="1"/>
        <v/>
      </c>
      <c r="AC20" s="22" t="str">
        <f t="shared" si="2"/>
        <v/>
      </c>
      <c r="AD20" s="23" t="str">
        <f>IF(AC20="","","   "&amp;INDEX(Results!$W$6:$W$18,MATCH(AC20,Results!$V$6:$V$18,1)))</f>
        <v/>
      </c>
    </row>
    <row r="21" spans="1:30" x14ac:dyDescent="0.2">
      <c r="A21" s="18">
        <f t="shared" ca="1" si="0"/>
        <v>16</v>
      </c>
      <c r="B21" s="38" t="str">
        <f>IF(Info!B21="Atlar şu ýeri","",Info!B21)</f>
        <v>Orunowa Täçbibi</v>
      </c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20"/>
      <c r="AB21" s="21" t="str">
        <f t="shared" si="1"/>
        <v/>
      </c>
      <c r="AC21" s="22" t="str">
        <f t="shared" si="2"/>
        <v/>
      </c>
      <c r="AD21" s="23" t="str">
        <f>IF(AC21="","","   "&amp;INDEX(Results!$W$6:$W$18,MATCH(AC21,Results!$V$6:$V$18,1)))</f>
        <v/>
      </c>
    </row>
    <row r="22" spans="1:30" x14ac:dyDescent="0.2">
      <c r="A22" s="18">
        <f t="shared" ca="1" si="0"/>
        <v>17</v>
      </c>
      <c r="B22" s="38" t="str">
        <f>IF(Info!B22="Atlar şu ýeri","",Info!B22)</f>
        <v>Ilýasow Älem</v>
      </c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20"/>
      <c r="AB22" s="21" t="str">
        <f t="shared" si="1"/>
        <v/>
      </c>
      <c r="AC22" s="22" t="str">
        <f t="shared" si="2"/>
        <v/>
      </c>
      <c r="AD22" s="23" t="str">
        <f>IF(AC22="","","   "&amp;INDEX(Results!$W$6:$W$18,MATCH(AC22,Results!$V$6:$V$18,1)))</f>
        <v/>
      </c>
    </row>
    <row r="23" spans="1:30" x14ac:dyDescent="0.2">
      <c r="A23" s="18">
        <f t="shared" ca="1" si="0"/>
        <v>18</v>
      </c>
      <c r="B23" s="38" t="str">
        <f>IF(Info!B23="Atlar şu ýeri","",Info!B23)</f>
        <v>Karabaýew Begli</v>
      </c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20"/>
      <c r="AB23" s="21" t="str">
        <f t="shared" si="1"/>
        <v/>
      </c>
      <c r="AC23" s="22" t="str">
        <f t="shared" si="2"/>
        <v/>
      </c>
      <c r="AD23" s="23" t="str">
        <f>IF(AC23="","","   "&amp;INDEX(Results!$W$6:$W$18,MATCH(AC23,Results!$V$6:$V$18,1)))</f>
        <v/>
      </c>
    </row>
    <row r="24" spans="1:30" x14ac:dyDescent="0.2">
      <c r="A24" s="18">
        <f t="shared" ca="1" si="0"/>
        <v>19</v>
      </c>
      <c r="B24" s="38" t="str">
        <f>IF(Info!B24="Atlar şu ýeri","",Info!B24)</f>
        <v>Kurbanow Wekil</v>
      </c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20"/>
      <c r="AB24" s="21" t="str">
        <f t="shared" si="1"/>
        <v/>
      </c>
      <c r="AC24" s="22" t="str">
        <f t="shared" si="2"/>
        <v/>
      </c>
      <c r="AD24" s="23" t="str">
        <f>IF(AC24="","","   "&amp;INDEX(Results!$W$6:$W$18,MATCH(AC24,Results!$V$6:$V$18,1)))</f>
        <v/>
      </c>
    </row>
    <row r="25" spans="1:30" x14ac:dyDescent="0.2">
      <c r="A25" s="18">
        <f t="shared" ca="1" si="0"/>
        <v>20</v>
      </c>
      <c r="B25" s="38" t="str">
        <f>IF(Info!B25="Atlar şu ýeri","",Info!B25)</f>
        <v>Madraimow Seidjan</v>
      </c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20"/>
      <c r="AB25" s="21" t="str">
        <f t="shared" si="1"/>
        <v/>
      </c>
      <c r="AC25" s="22" t="str">
        <f t="shared" si="2"/>
        <v/>
      </c>
      <c r="AD25" s="23" t="str">
        <f>IF(AC25="","","   "&amp;INDEX(Results!$W$6:$W$18,MATCH(AC25,Results!$V$6:$V$18,1)))</f>
        <v/>
      </c>
    </row>
    <row r="26" spans="1:30" x14ac:dyDescent="0.2">
      <c r="A26" s="18">
        <f t="shared" ca="1" si="0"/>
        <v>21</v>
      </c>
      <c r="B26" s="38" t="str">
        <f>IF(Info!B26="Atlar şu ýeri","",Info!B26)</f>
        <v>Matmuradowa Gulnur</v>
      </c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20"/>
      <c r="AB26" s="21" t="str">
        <f t="shared" si="1"/>
        <v/>
      </c>
      <c r="AC26" s="22" t="str">
        <f t="shared" si="2"/>
        <v/>
      </c>
      <c r="AD26" s="23" t="str">
        <f>IF(AC26="","","   "&amp;INDEX(Results!$W$6:$W$18,MATCH(AC26,Results!$V$6:$V$18,1)))</f>
        <v/>
      </c>
    </row>
    <row r="27" spans="1:30" x14ac:dyDescent="0.2">
      <c r="A27" s="18">
        <f t="shared" ca="1" si="0"/>
        <v>22</v>
      </c>
      <c r="B27" s="38" t="str">
        <f>IF(Info!B27="Atlar şu ýeri","",Info!B27)</f>
        <v>Myradowa Aýjahan</v>
      </c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20"/>
      <c r="AB27" s="21" t="str">
        <f t="shared" si="1"/>
        <v/>
      </c>
      <c r="AC27" s="22" t="str">
        <f t="shared" si="2"/>
        <v/>
      </c>
      <c r="AD27" s="23" t="str">
        <f>IF(AC27="","","   "&amp;INDEX(Results!$W$6:$W$18,MATCH(AC27,Results!$V$6:$V$18,1)))</f>
        <v/>
      </c>
    </row>
    <row r="28" spans="1:30" x14ac:dyDescent="0.2">
      <c r="A28" s="18">
        <f t="shared" ca="1" si="0"/>
        <v>23</v>
      </c>
      <c r="B28" s="38" t="str">
        <f>IF(Info!B28="Atlar şu ýeri","",Info!B28)</f>
        <v>Osmanowa Ýyldyz</v>
      </c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20"/>
      <c r="AB28" s="21" t="str">
        <f t="shared" si="1"/>
        <v/>
      </c>
      <c r="AC28" s="22" t="str">
        <f t="shared" si="2"/>
        <v/>
      </c>
      <c r="AD28" s="23" t="str">
        <f>IF(AC28="","","   "&amp;INDEX(Results!$W$6:$W$18,MATCH(AC28,Results!$V$6:$V$18,1)))</f>
        <v/>
      </c>
    </row>
    <row r="29" spans="1:30" x14ac:dyDescent="0.2">
      <c r="A29" s="18">
        <f t="shared" ca="1" si="0"/>
        <v>24</v>
      </c>
      <c r="B29" s="38" t="str">
        <f>IF(Info!B29="Atlar şu ýeri","",Info!B29)</f>
        <v>Orazowa Aýnur</v>
      </c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20"/>
      <c r="AB29" s="21" t="str">
        <f t="shared" si="1"/>
        <v/>
      </c>
      <c r="AC29" s="22" t="str">
        <f t="shared" si="2"/>
        <v/>
      </c>
      <c r="AD29" s="23" t="str">
        <f>IF(AC29="","","   "&amp;INDEX(Results!$W$6:$W$18,MATCH(AC29,Results!$V$6:$V$18,1)))</f>
        <v/>
      </c>
    </row>
    <row r="30" spans="1:30" x14ac:dyDescent="0.2">
      <c r="A30" s="18">
        <f t="shared" ca="1" si="0"/>
        <v>25</v>
      </c>
      <c r="B30" s="38" t="str">
        <f>IF(Info!B30="Atlar şu ýeri","",Info!B30)</f>
        <v>Orunowa Aýjemal</v>
      </c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20"/>
      <c r="AB30" s="21" t="str">
        <f t="shared" si="1"/>
        <v/>
      </c>
      <c r="AC30" s="22" t="str">
        <f t="shared" si="2"/>
        <v/>
      </c>
      <c r="AD30" s="23" t="str">
        <f>IF(AC30="","","   "&amp;INDEX(Results!$W$6:$W$18,MATCH(AC30,Results!$V$6:$V$18,1)))</f>
        <v/>
      </c>
    </row>
    <row r="31" spans="1:30" x14ac:dyDescent="0.2">
      <c r="A31" s="18">
        <f t="shared" ca="1" si="0"/>
        <v>26</v>
      </c>
      <c r="B31" s="38" t="str">
        <f>IF(Info!B31="Atlar şu ýeri","",Info!B31)</f>
        <v>Öwezow Döwlet</v>
      </c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20"/>
      <c r="AB31" s="21" t="str">
        <f t="shared" si="1"/>
        <v/>
      </c>
      <c r="AC31" s="22" t="str">
        <f t="shared" si="2"/>
        <v/>
      </c>
      <c r="AD31" s="23" t="str">
        <f>IF(AC31="","","   "&amp;INDEX(Results!$W$6:$W$18,MATCH(AC31,Results!$V$6:$V$18,1)))</f>
        <v/>
      </c>
    </row>
    <row r="32" spans="1:30" x14ac:dyDescent="0.2">
      <c r="A32" s="18">
        <f t="shared" ca="1" si="0"/>
        <v>27</v>
      </c>
      <c r="B32" s="38" t="str">
        <f>IF(Info!B32="Atlar şu ýeri","",Info!B32)</f>
        <v>Piriýew Aýhan</v>
      </c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20"/>
      <c r="AB32" s="21" t="str">
        <f t="shared" si="1"/>
        <v/>
      </c>
      <c r="AC32" s="22" t="str">
        <f t="shared" si="2"/>
        <v/>
      </c>
      <c r="AD32" s="23" t="str">
        <f>IF(AC32="","","   "&amp;INDEX(Results!$W$6:$W$18,MATCH(AC32,Results!$V$6:$V$18,1)))</f>
        <v/>
      </c>
    </row>
    <row r="33" spans="1:32" x14ac:dyDescent="0.2">
      <c r="A33" s="18">
        <f t="shared" ca="1" si="0"/>
        <v>28</v>
      </c>
      <c r="B33" s="38" t="str">
        <f>IF(Info!B33="Atlar şu ýeri","",Info!B33)</f>
        <v>Taganow Sanjar</v>
      </c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20"/>
      <c r="AB33" s="21" t="str">
        <f t="shared" si="1"/>
        <v/>
      </c>
      <c r="AC33" s="22" t="str">
        <f t="shared" si="2"/>
        <v/>
      </c>
      <c r="AD33" s="23" t="str">
        <f>IF(AC33="","","   "&amp;INDEX(Results!$W$6:$W$18,MATCH(AC33,Results!$V$6:$V$18,1)))</f>
        <v/>
      </c>
    </row>
    <row r="34" spans="1:32" x14ac:dyDescent="0.2">
      <c r="A34" s="18">
        <f t="shared" ca="1" si="0"/>
        <v>29</v>
      </c>
      <c r="B34" s="38" t="str">
        <f>IF(Info!B34="Atlar şu ýeri","",Info!B34)</f>
        <v>Weliýew Öwez</v>
      </c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20"/>
      <c r="AB34" s="21" t="str">
        <f t="shared" si="1"/>
        <v/>
      </c>
      <c r="AC34" s="22" t="str">
        <f t="shared" si="2"/>
        <v/>
      </c>
      <c r="AD34" s="23" t="str">
        <f>IF(AC34="","","   "&amp;INDEX(Results!$W$6:$W$18,MATCH(AC34,Results!$V$6:$V$18,1)))</f>
        <v/>
      </c>
    </row>
    <row r="35" spans="1:32" x14ac:dyDescent="0.2">
      <c r="A35" s="18">
        <f t="shared" ca="1" si="0"/>
        <v>30</v>
      </c>
      <c r="B35" s="38" t="str">
        <f>IF(Info!B35="Atlar şu ýeri","",Info!B35)</f>
        <v>Ýagşybaýew Muhammet</v>
      </c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20"/>
      <c r="AB35" s="21" t="str">
        <f t="shared" si="1"/>
        <v/>
      </c>
      <c r="AC35" s="22" t="str">
        <f t="shared" si="2"/>
        <v/>
      </c>
      <c r="AD35" s="23" t="str">
        <f>IF(AC35="","","   "&amp;INDEX(Results!$W$6:$W$18,MATCH(AC35,Results!$V$6:$V$18,1)))</f>
        <v/>
      </c>
    </row>
    <row r="36" spans="1:32" x14ac:dyDescent="0.2">
      <c r="A36" s="18">
        <f t="shared" ca="1" si="0"/>
        <v>31</v>
      </c>
      <c r="B36" s="38" t="str">
        <f>IF(Info!B36="Atlar şu ýeri","",Info!B36)</f>
        <v>Ýazberdiýewa Söýli</v>
      </c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20"/>
      <c r="AB36" s="21" t="str">
        <f t="shared" si="1"/>
        <v/>
      </c>
      <c r="AC36" s="22" t="str">
        <f t="shared" si="2"/>
        <v/>
      </c>
      <c r="AD36" s="23" t="str">
        <f>IF(AC36="","","   "&amp;INDEX(Results!$W$6:$W$18,MATCH(AC36,Results!$V$6:$V$18,1)))</f>
        <v/>
      </c>
    </row>
    <row r="37" spans="1:32" x14ac:dyDescent="0.2">
      <c r="A37" s="18">
        <f t="shared" ca="1" si="0"/>
        <v>32</v>
      </c>
      <c r="B37" s="38" t="str">
        <f>IF(Info!B37="Atlar şu ýeri","",Info!B37)</f>
        <v>Ýazyýewa Meňli</v>
      </c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20"/>
      <c r="AB37" s="21" t="str">
        <f t="shared" si="1"/>
        <v/>
      </c>
      <c r="AC37" s="22" t="str">
        <f t="shared" si="2"/>
        <v/>
      </c>
      <c r="AD37" s="23" t="str">
        <f>IF(AC37="","","   "&amp;INDEX(Results!$W$6:$W$18,MATCH(AC37,Results!$V$6:$V$18,1)))</f>
        <v/>
      </c>
    </row>
    <row r="38" spans="1:32" x14ac:dyDescent="0.2">
      <c r="A38" s="18">
        <f t="shared" ca="1" si="0"/>
        <v>33</v>
      </c>
      <c r="B38" s="38" t="str">
        <f>IF(Info!B38="Atlar şu ýeri","",Info!B38)</f>
        <v>Ýunusow Ýunus</v>
      </c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20"/>
      <c r="AB38" s="21" t="str">
        <f t="shared" si="1"/>
        <v/>
      </c>
      <c r="AC38" s="22" t="str">
        <f t="shared" si="2"/>
        <v/>
      </c>
      <c r="AD38" s="23" t="str">
        <f>IF(AC38="","","   "&amp;INDEX(Results!$W$6:$W$18,MATCH(AC38,Results!$V$6:$V$18,1)))</f>
        <v/>
      </c>
    </row>
    <row r="39" spans="1:32" x14ac:dyDescent="0.2">
      <c r="A39" s="18">
        <f t="shared" ca="1" si="0"/>
        <v>34</v>
      </c>
      <c r="B39" s="38" t="str">
        <f>IF(Info!B39="Atlar şu ýeri","",Info!B39)</f>
        <v>Ýusupowa  Jahan</v>
      </c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20"/>
      <c r="AB39" s="21" t="str">
        <f t="shared" si="1"/>
        <v/>
      </c>
      <c r="AC39" s="22" t="str">
        <f t="shared" si="2"/>
        <v/>
      </c>
      <c r="AD39" s="23" t="str">
        <f>IF(AC39="","","   "&amp;INDEX(Results!$W$6:$W$18,MATCH(AC39,Results!$V$6:$V$18,1)))</f>
        <v/>
      </c>
    </row>
    <row r="40" spans="1:32" x14ac:dyDescent="0.2">
      <c r="A40" s="18">
        <f t="shared" ca="1" si="0"/>
        <v>35</v>
      </c>
      <c r="B40" s="38" t="str">
        <f>IF(Info!B40="Atlar şu ýeri","",Info!B40)</f>
        <v/>
      </c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20"/>
      <c r="AB40" s="21" t="str">
        <f t="shared" si="1"/>
        <v/>
      </c>
      <c r="AC40" s="22" t="str">
        <f t="shared" si="2"/>
        <v/>
      </c>
      <c r="AD40" s="23" t="str">
        <f>IF(AC40="","","   "&amp;INDEX(Results!$W$6:$W$18,MATCH(AC40,Results!$V$6:$V$18,1)))</f>
        <v/>
      </c>
    </row>
    <row r="41" spans="1:32" x14ac:dyDescent="0.2">
      <c r="A41" s="18">
        <f t="shared" ca="1" si="0"/>
        <v>36</v>
      </c>
      <c r="B41" s="38" t="str">
        <f>IF(Info!B41="Atlar şu ýeri","",Info!B41)</f>
        <v/>
      </c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20"/>
      <c r="AB41" s="21" t="str">
        <f t="shared" si="1"/>
        <v/>
      </c>
      <c r="AC41" s="22" t="str">
        <f t="shared" si="2"/>
        <v/>
      </c>
      <c r="AD41" s="23" t="str">
        <f>IF(AC41="","","   "&amp;INDEX(Results!$W$6:$W$18,MATCH(AC41,Results!$V$6:$V$18,1)))</f>
        <v/>
      </c>
    </row>
    <row r="42" spans="1:32" x14ac:dyDescent="0.2">
      <c r="A42" s="18">
        <f t="shared" ca="1" si="0"/>
        <v>37</v>
      </c>
      <c r="B42" s="38" t="str">
        <f>IF(Info!B42="Atlar şu ýeri","",Info!B42)</f>
        <v/>
      </c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20"/>
      <c r="AB42" s="21" t="str">
        <f t="shared" si="1"/>
        <v/>
      </c>
      <c r="AC42" s="22" t="str">
        <f t="shared" si="2"/>
        <v/>
      </c>
      <c r="AD42" s="23" t="str">
        <f>IF(AC42="","","   "&amp;INDEX(Results!$W$6:$W$18,MATCH(AC42,Results!$V$6:$V$18,1)))</f>
        <v/>
      </c>
    </row>
    <row r="43" spans="1:32" x14ac:dyDescent="0.2">
      <c r="A43" s="18">
        <f t="shared" ca="1" si="0"/>
        <v>38</v>
      </c>
      <c r="B43" s="38" t="str">
        <f>IF(Info!B43="Atlar şu ýeri","",Info!B43)</f>
        <v/>
      </c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20"/>
      <c r="AB43" s="21" t="str">
        <f t="shared" si="1"/>
        <v/>
      </c>
      <c r="AC43" s="22" t="str">
        <f t="shared" si="2"/>
        <v/>
      </c>
      <c r="AD43" s="23" t="str">
        <f>IF(AC43="","","   "&amp;INDEX(Results!$W$6:$W$18,MATCH(AC43,Results!$V$6:$V$18,1)))</f>
        <v/>
      </c>
    </row>
    <row r="44" spans="1:32" x14ac:dyDescent="0.2">
      <c r="A44" s="18">
        <f t="shared" ca="1" si="0"/>
        <v>39</v>
      </c>
      <c r="B44" s="38" t="str">
        <f>IF(Info!B44="Atlar şu ýeri","",Info!B44)</f>
        <v/>
      </c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20"/>
      <c r="AB44" s="21" t="str">
        <f t="shared" si="1"/>
        <v/>
      </c>
      <c r="AC44" s="22" t="str">
        <f t="shared" si="2"/>
        <v/>
      </c>
      <c r="AD44" s="23" t="str">
        <f>IF(AC44="","","   "&amp;INDEX(Results!$W$6:$W$18,MATCH(AC44,Results!$V$6:$V$18,1)))</f>
        <v/>
      </c>
    </row>
    <row r="45" spans="1:32" x14ac:dyDescent="0.2">
      <c r="A45" s="18">
        <f t="shared" ca="1" si="0"/>
        <v>40</v>
      </c>
      <c r="B45" s="38" t="str">
        <f>IF(Info!B45="Atlar şu ýeri","",Info!B45)</f>
        <v/>
      </c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20"/>
      <c r="AB45" s="21" t="str">
        <f t="shared" si="1"/>
        <v/>
      </c>
      <c r="AC45" s="22" t="str">
        <f t="shared" si="2"/>
        <v/>
      </c>
      <c r="AD45" s="23" t="str">
        <f>IF(AC45="","","   "&amp;INDEX(Results!$W$6:$W$18,MATCH(AC45,Results!$V$6:$V$18,1)))</f>
        <v/>
      </c>
    </row>
    <row r="46" spans="1:32" x14ac:dyDescent="0.2">
      <c r="A46" s="24" t="s">
        <v>0</v>
      </c>
      <c r="B46" s="25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96">
        <v>1</v>
      </c>
      <c r="AA46" s="27"/>
      <c r="AB46" s="28"/>
      <c r="AC46" s="29"/>
      <c r="AD46" s="30"/>
    </row>
    <row r="47" spans="1:32" x14ac:dyDescent="0.2">
      <c r="A47" s="2"/>
      <c r="B47" s="31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AA47" s="27"/>
      <c r="AB47" s="33" t="s">
        <v>155</v>
      </c>
      <c r="AC47" s="34" t="e">
        <f>AVERAGE(AC6:AC46)</f>
        <v>#DIV/0!</v>
      </c>
      <c r="AD47" s="35" t="e">
        <f>IF(AC47="","",INDEX(Results!$W$6:$W$18,MATCH(AC47,Results!$V$6:$V$18,1)))</f>
        <v>#DIV/0!</v>
      </c>
      <c r="AF47" s="36"/>
    </row>
    <row r="48" spans="1:32" x14ac:dyDescent="0.2">
      <c r="A48" s="2"/>
      <c r="B48" s="31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27"/>
      <c r="AB48" s="90"/>
      <c r="AC48" s="91"/>
      <c r="AD48" s="92"/>
      <c r="AF48" s="36"/>
    </row>
    <row r="49" spans="1:30" x14ac:dyDescent="0.2">
      <c r="A49" s="2"/>
      <c r="B49" s="37"/>
      <c r="C49" s="32"/>
      <c r="D49" s="32"/>
      <c r="E49" s="32"/>
      <c r="F49" s="32"/>
      <c r="G49" s="32"/>
      <c r="H49" s="32"/>
      <c r="I49" s="93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27"/>
      <c r="AB49" s="2"/>
      <c r="AC49" s="2"/>
      <c r="AD49" s="2"/>
    </row>
  </sheetData>
  <mergeCells count="4">
    <mergeCell ref="AB3:AB4"/>
    <mergeCell ref="AC3:AC4"/>
    <mergeCell ref="AD3:AD4"/>
    <mergeCell ref="C1:T1"/>
  </mergeCell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/>
  <headerFooter alignWithMargins="0"/>
  <drawing r:id="rId1"/>
  <legacyDrawing r:id="rId2"/>
  <controls>
    <mc:AlternateContent xmlns:mc="http://schemas.openxmlformats.org/markup-compatibility/2006">
      <mc:Choice Requires="x14">
        <control shapeId="20481" r:id="rId3" name="CommandButton1">
          <controlPr defaultSize="0" autoLine="0" r:id="rId4">
            <anchor moveWithCells="1">
              <from>
                <xdr:col>30</xdr:col>
                <xdr:colOff>295275</xdr:colOff>
                <xdr:row>1</xdr:row>
                <xdr:rowOff>66675</xdr:rowOff>
              </from>
              <to>
                <xdr:col>31</xdr:col>
                <xdr:colOff>1095375</xdr:colOff>
                <xdr:row>3</xdr:row>
                <xdr:rowOff>9525</xdr:rowOff>
              </to>
            </anchor>
          </controlPr>
        </control>
      </mc:Choice>
      <mc:Fallback>
        <control shapeId="20481" r:id="rId3" name="CommandButton1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D43"/>
  <sheetViews>
    <sheetView workbookViewId="0">
      <selection activeCell="P21" sqref="P21"/>
    </sheetView>
  </sheetViews>
  <sheetFormatPr defaultRowHeight="12.75" x14ac:dyDescent="0.2"/>
  <cols>
    <col min="1" max="1" width="3.7109375" style="1" customWidth="1"/>
    <col min="2" max="2" width="38" style="1" bestFit="1" customWidth="1"/>
    <col min="3" max="16" width="7.140625" style="1" customWidth="1"/>
    <col min="17" max="17" width="1.42578125" style="1" customWidth="1"/>
    <col min="18" max="18" width="7.5703125" style="1" customWidth="1"/>
    <col min="19" max="19" width="10.5703125" style="1" bestFit="1" customWidth="1"/>
    <col min="20" max="20" width="6.85546875" style="1" customWidth="1"/>
    <col min="21" max="21" width="5.28515625" style="1" customWidth="1"/>
    <col min="22" max="22" width="16.7109375" style="1" customWidth="1"/>
    <col min="23" max="16384" width="9.140625" style="1"/>
  </cols>
  <sheetData>
    <row r="1" spans="1:30" ht="19.5" x14ac:dyDescent="0.3">
      <c r="A1" s="2"/>
      <c r="B1" s="3" t="s">
        <v>56</v>
      </c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87"/>
      <c r="V1" s="87"/>
      <c r="W1" s="4"/>
      <c r="X1" s="4"/>
      <c r="Y1" s="4"/>
      <c r="Z1" s="4"/>
      <c r="AA1" s="4"/>
      <c r="AB1" s="4"/>
      <c r="AC1" s="6"/>
      <c r="AD1" s="6"/>
    </row>
    <row r="2" spans="1:30" ht="15" x14ac:dyDescent="0.25">
      <c r="A2" s="2"/>
      <c r="B2" s="7" t="s">
        <v>12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10"/>
    </row>
    <row r="3" spans="1:30" ht="42" customHeight="1" x14ac:dyDescent="0.25">
      <c r="A3" s="11"/>
      <c r="B3" s="12" t="s">
        <v>14</v>
      </c>
      <c r="C3" s="13" t="s">
        <v>15</v>
      </c>
      <c r="D3" s="13" t="s">
        <v>16</v>
      </c>
      <c r="E3" s="13" t="s">
        <v>17</v>
      </c>
      <c r="F3" s="13" t="s">
        <v>18</v>
      </c>
      <c r="G3" s="13" t="s">
        <v>19</v>
      </c>
      <c r="H3" s="13" t="s">
        <v>20</v>
      </c>
      <c r="I3" s="13" t="s">
        <v>21</v>
      </c>
      <c r="J3" s="13" t="s">
        <v>22</v>
      </c>
      <c r="K3" s="13" t="s">
        <v>23</v>
      </c>
      <c r="L3" s="13" t="s">
        <v>24</v>
      </c>
      <c r="M3" s="13" t="s">
        <v>25</v>
      </c>
      <c r="N3" s="13" t="s">
        <v>26</v>
      </c>
      <c r="O3" s="13" t="s">
        <v>27</v>
      </c>
      <c r="P3" s="13" t="s">
        <v>28</v>
      </c>
      <c r="Q3" s="13" t="s">
        <v>46</v>
      </c>
      <c r="R3" s="13" t="s">
        <v>47</v>
      </c>
      <c r="S3" s="13" t="s">
        <v>48</v>
      </c>
      <c r="T3" s="13" t="s">
        <v>49</v>
      </c>
      <c r="U3" s="13" t="s">
        <v>50</v>
      </c>
      <c r="V3" s="13" t="s">
        <v>51</v>
      </c>
      <c r="W3" s="13" t="s">
        <v>52</v>
      </c>
      <c r="X3" s="13" t="s">
        <v>53</v>
      </c>
      <c r="Y3" s="13" t="s">
        <v>54</v>
      </c>
      <c r="Z3" s="13" t="s">
        <v>55</v>
      </c>
      <c r="AA3" s="14"/>
      <c r="AB3" s="97" t="s">
        <v>29</v>
      </c>
      <c r="AC3" s="98" t="s">
        <v>36</v>
      </c>
      <c r="AD3" s="99" t="s">
        <v>35</v>
      </c>
    </row>
    <row r="4" spans="1:30" x14ac:dyDescent="0.2">
      <c r="A4" s="11"/>
      <c r="B4" s="15" t="s">
        <v>30</v>
      </c>
      <c r="C4" s="16">
        <v>5</v>
      </c>
      <c r="D4" s="16">
        <v>5</v>
      </c>
      <c r="E4" s="16">
        <v>5</v>
      </c>
      <c r="F4" s="16">
        <v>5</v>
      </c>
      <c r="G4" s="16">
        <v>5</v>
      </c>
      <c r="H4" s="16">
        <v>5</v>
      </c>
      <c r="I4" s="16">
        <v>5</v>
      </c>
      <c r="J4" s="16">
        <v>5</v>
      </c>
      <c r="K4" s="16">
        <v>5</v>
      </c>
      <c r="L4" s="16">
        <v>5</v>
      </c>
      <c r="M4" s="16">
        <v>5</v>
      </c>
      <c r="N4" s="16">
        <v>5</v>
      </c>
      <c r="O4" s="16">
        <v>5</v>
      </c>
      <c r="P4" s="16">
        <v>5</v>
      </c>
      <c r="Q4" s="16">
        <v>5</v>
      </c>
      <c r="R4" s="16">
        <v>5</v>
      </c>
      <c r="S4" s="16">
        <v>5</v>
      </c>
      <c r="T4" s="16">
        <v>5</v>
      </c>
      <c r="U4" s="16">
        <v>5</v>
      </c>
      <c r="V4" s="16">
        <v>5</v>
      </c>
      <c r="W4" s="16">
        <v>5</v>
      </c>
      <c r="X4" s="16">
        <v>5</v>
      </c>
      <c r="Y4" s="16">
        <v>5</v>
      </c>
      <c r="Z4" s="16">
        <v>5</v>
      </c>
      <c r="AA4" s="17"/>
      <c r="AB4" s="97"/>
      <c r="AC4" s="97"/>
      <c r="AD4" s="97"/>
    </row>
    <row r="5" spans="1:30" ht="6" customHeight="1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18">
        <f t="shared" ref="A6:A43" ca="1" si="0">OFFSET(A6,-1,0,1,1)+1</f>
        <v>1</v>
      </c>
      <c r="B6" s="38" t="str">
        <f>IF(Info!B6="Atlar şu ýeri","",Info!B6)</f>
        <v>Abdullaýewa Dinara</v>
      </c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20"/>
      <c r="AB6" s="21" t="str">
        <f t="shared" ref="AB6:AB33" si="1">IF(SUM(C6:Z6)=0,"",SUMPRODUCT(C6:Z6))</f>
        <v/>
      </c>
      <c r="AC6" s="22" t="str">
        <f t="shared" ref="AC6:AC33" si="2">IF(SUM(C6:Z6)=0,"",AB6/(SUMIF(C6:Z6,"&lt;&gt;",$C$4:$Z$4)-SUMIF(C6:Z6,"=E",$C$4:$Z$4)))</f>
        <v/>
      </c>
      <c r="AD6" s="23" t="str">
        <f>IF(AC6="","","   "&amp;INDEX(Results!$W$6:$W$18,MATCH(AC6,Results!$V$6:$V$18,1)))</f>
        <v/>
      </c>
    </row>
    <row r="7" spans="1:30" x14ac:dyDescent="0.2">
      <c r="A7" s="18">
        <f t="shared" ca="1" si="0"/>
        <v>2</v>
      </c>
      <c r="B7" s="38" t="str">
        <f>IF(Info!B7="Atlar şu ýeri","",Info!B7)</f>
        <v>Arslanow Yhlas</v>
      </c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20"/>
      <c r="AB7" s="21" t="str">
        <f t="shared" si="1"/>
        <v/>
      </c>
      <c r="AC7" s="22" t="str">
        <f t="shared" si="2"/>
        <v/>
      </c>
      <c r="AD7" s="23" t="str">
        <f>IF(AC7="","","   "&amp;INDEX(Results!$W$6:$W$18,MATCH(AC7,Results!$V$6:$V$18,1)))</f>
        <v/>
      </c>
    </row>
    <row r="8" spans="1:30" x14ac:dyDescent="0.2">
      <c r="A8" s="18">
        <f t="shared" ca="1" si="0"/>
        <v>3</v>
      </c>
      <c r="B8" s="38" t="str">
        <f>IF(Info!B8="Atlar şu ýeri","",Info!B8)</f>
        <v>Aşyrowa Maýsa</v>
      </c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20"/>
      <c r="AB8" s="21" t="str">
        <f t="shared" si="1"/>
        <v/>
      </c>
      <c r="AC8" s="22" t="str">
        <f t="shared" si="2"/>
        <v/>
      </c>
      <c r="AD8" s="23" t="str">
        <f>IF(AC8="","","   "&amp;INDEX(Results!$W$6:$W$18,MATCH(AC8,Results!$V$6:$V$18,1)))</f>
        <v/>
      </c>
    </row>
    <row r="9" spans="1:30" x14ac:dyDescent="0.2">
      <c r="A9" s="18">
        <f t="shared" ca="1" si="0"/>
        <v>4</v>
      </c>
      <c r="B9" s="38" t="str">
        <f>IF(Info!B9="Atlar şu ýeri","",Info!B9)</f>
        <v>Atabaýewa Ogulaý</v>
      </c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20"/>
      <c r="AB9" s="21" t="str">
        <f t="shared" si="1"/>
        <v/>
      </c>
      <c r="AC9" s="22" t="str">
        <f t="shared" si="2"/>
        <v/>
      </c>
      <c r="AD9" s="23" t="str">
        <f>IF(AC9="","","   "&amp;INDEX(Results!$W$6:$W$18,MATCH(AC9,Results!$V$6:$V$18,1)))</f>
        <v/>
      </c>
    </row>
    <row r="10" spans="1:30" x14ac:dyDescent="0.2">
      <c r="A10" s="18">
        <f t="shared" ca="1" si="0"/>
        <v>5</v>
      </c>
      <c r="B10" s="38" t="str">
        <f>IF(Info!B10="Atlar şu ýeri","",Info!B10)</f>
        <v>Atanazarow Meýlis</v>
      </c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20"/>
      <c r="AB10" s="21" t="str">
        <f t="shared" si="1"/>
        <v/>
      </c>
      <c r="AC10" s="22" t="str">
        <f t="shared" si="2"/>
        <v/>
      </c>
      <c r="AD10" s="23" t="str">
        <f>IF(AC10="","","   "&amp;INDEX(Results!$W$6:$W$18,MATCH(AC10,Results!$V$6:$V$18,1)))</f>
        <v/>
      </c>
    </row>
    <row r="11" spans="1:30" x14ac:dyDescent="0.2">
      <c r="A11" s="18">
        <f t="shared" ca="1" si="0"/>
        <v>6</v>
      </c>
      <c r="B11" s="38" t="str">
        <f>IF(Info!B11="Atlar şu ýeri","",Info!B11)</f>
        <v>Babajanowa Aýlar</v>
      </c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20"/>
      <c r="AB11" s="21" t="str">
        <f t="shared" si="1"/>
        <v/>
      </c>
      <c r="AC11" s="22" t="str">
        <f t="shared" si="2"/>
        <v/>
      </c>
      <c r="AD11" s="23" t="str">
        <f>IF(AC11="","","   "&amp;INDEX(Results!$W$6:$W$18,MATCH(AC11,Results!$V$6:$V$18,1)))</f>
        <v/>
      </c>
    </row>
    <row r="12" spans="1:30" x14ac:dyDescent="0.2">
      <c r="A12" s="18">
        <f t="shared" ca="1" si="0"/>
        <v>7</v>
      </c>
      <c r="B12" s="38" t="str">
        <f>IF(Info!B12="Atlar şu ýeri","",Info!B12)</f>
        <v>Babajanowa Selbi</v>
      </c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20"/>
      <c r="AB12" s="21" t="str">
        <f t="shared" si="1"/>
        <v/>
      </c>
      <c r="AC12" s="22" t="str">
        <f t="shared" si="2"/>
        <v/>
      </c>
      <c r="AD12" s="23" t="str">
        <f>IF(AC12="","","   "&amp;INDEX(Results!$W$6:$W$18,MATCH(AC12,Results!$V$6:$V$18,1)))</f>
        <v/>
      </c>
    </row>
    <row r="13" spans="1:30" x14ac:dyDescent="0.2">
      <c r="A13" s="18">
        <f t="shared" ca="1" si="0"/>
        <v>8</v>
      </c>
      <c r="B13" s="38" t="str">
        <f>IF(Info!B13="Atlar şu ýeri","",Info!B13)</f>
        <v>Ataýew Nurgeldi</v>
      </c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20"/>
      <c r="AB13" s="21" t="str">
        <f t="shared" si="1"/>
        <v/>
      </c>
      <c r="AC13" s="22" t="str">
        <f t="shared" si="2"/>
        <v/>
      </c>
      <c r="AD13" s="23" t="str">
        <f>IF(AC13="","","   "&amp;INDEX(Results!$W$6:$W$18,MATCH(AC13,Results!$V$6:$V$18,1)))</f>
        <v/>
      </c>
    </row>
    <row r="14" spans="1:30" x14ac:dyDescent="0.2">
      <c r="A14" s="18">
        <f t="shared" ca="1" si="0"/>
        <v>9</v>
      </c>
      <c r="B14" s="38" t="str">
        <f>IF(Info!B14="Atlar şu ýeri","",Info!B14)</f>
        <v>Batyrow Arafat</v>
      </c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20"/>
      <c r="AB14" s="21" t="str">
        <f t="shared" si="1"/>
        <v/>
      </c>
      <c r="AC14" s="22" t="str">
        <f t="shared" si="2"/>
        <v/>
      </c>
      <c r="AD14" s="23" t="str">
        <f>IF(AC14="","","   "&amp;INDEX(Results!$W$6:$W$18,MATCH(AC14,Results!$V$6:$V$18,1)))</f>
        <v/>
      </c>
    </row>
    <row r="15" spans="1:30" x14ac:dyDescent="0.2">
      <c r="A15" s="18">
        <f t="shared" ca="1" si="0"/>
        <v>10</v>
      </c>
      <c r="B15" s="38" t="str">
        <f>IF(Info!B15="Atlar şu ýeri","",Info!B15)</f>
        <v>Çaryýew Kemal</v>
      </c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20"/>
      <c r="AB15" s="21" t="str">
        <f t="shared" si="1"/>
        <v/>
      </c>
      <c r="AC15" s="22" t="str">
        <f t="shared" si="2"/>
        <v/>
      </c>
      <c r="AD15" s="23" t="str">
        <f>IF(AC15="","","   "&amp;INDEX(Results!$W$6:$W$18,MATCH(AC15,Results!$V$6:$V$18,1)))</f>
        <v/>
      </c>
    </row>
    <row r="16" spans="1:30" x14ac:dyDescent="0.2">
      <c r="A16" s="18">
        <f t="shared" ca="1" si="0"/>
        <v>11</v>
      </c>
      <c r="B16" s="38" t="str">
        <f>IF(Info!B16="Atlar şu ýeri","",Info!B16)</f>
        <v>Gurbanow Mekanmyrat</v>
      </c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20"/>
      <c r="AB16" s="21" t="str">
        <f t="shared" si="1"/>
        <v/>
      </c>
      <c r="AC16" s="22" t="str">
        <f t="shared" si="2"/>
        <v/>
      </c>
      <c r="AD16" s="23" t="str">
        <f>IF(AC16="","","   "&amp;INDEX(Results!$W$6:$W$18,MATCH(AC16,Results!$V$6:$V$18,1)))</f>
        <v/>
      </c>
    </row>
    <row r="17" spans="1:30" x14ac:dyDescent="0.2">
      <c r="A17" s="18">
        <f t="shared" ca="1" si="0"/>
        <v>12</v>
      </c>
      <c r="B17" s="38" t="str">
        <f>IF(Info!B17="Atlar şu ýeri","",Info!B17)</f>
        <v>Hojamuhammedow Guwanç</v>
      </c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20"/>
      <c r="AB17" s="21" t="str">
        <f t="shared" si="1"/>
        <v/>
      </c>
      <c r="AC17" s="22" t="str">
        <f t="shared" si="2"/>
        <v/>
      </c>
      <c r="AD17" s="23" t="str">
        <f>IF(AC17="","","   "&amp;INDEX(Results!$W$6:$W$18,MATCH(AC17,Results!$V$6:$V$18,1)))</f>
        <v/>
      </c>
    </row>
    <row r="18" spans="1:30" x14ac:dyDescent="0.2">
      <c r="A18" s="18">
        <f t="shared" ca="1" si="0"/>
        <v>13</v>
      </c>
      <c r="B18" s="38" t="str">
        <f>IF(Info!B18="Atlar şu ýeri","",Info!B18)</f>
        <v xml:space="preserve">Hojamämmedow  </v>
      </c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20"/>
      <c r="AB18" s="21" t="str">
        <f t="shared" si="1"/>
        <v/>
      </c>
      <c r="AC18" s="22" t="str">
        <f t="shared" si="2"/>
        <v/>
      </c>
      <c r="AD18" s="23" t="str">
        <f>IF(AC18="","","   "&amp;INDEX(Results!$W$6:$W$18,MATCH(AC18,Results!$V$6:$V$18,1)))</f>
        <v/>
      </c>
    </row>
    <row r="19" spans="1:30" x14ac:dyDescent="0.2">
      <c r="A19" s="18">
        <f t="shared" ca="1" si="0"/>
        <v>14</v>
      </c>
      <c r="B19" s="38" t="str">
        <f>IF(Info!B19="Atlar şu ýeri","",Info!B19)</f>
        <v>Hanowa Gülälek</v>
      </c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20"/>
      <c r="AB19" s="21" t="str">
        <f t="shared" si="1"/>
        <v/>
      </c>
      <c r="AC19" s="22" t="str">
        <f t="shared" si="2"/>
        <v/>
      </c>
      <c r="AD19" s="23" t="str">
        <f>IF(AC19="","","   "&amp;INDEX(Results!$W$6:$W$18,MATCH(AC19,Results!$V$6:$V$18,1)))</f>
        <v/>
      </c>
    </row>
    <row r="20" spans="1:30" x14ac:dyDescent="0.2">
      <c r="A20" s="18">
        <f t="shared" ca="1" si="0"/>
        <v>15</v>
      </c>
      <c r="B20" s="38" t="str">
        <f>IF(Info!B20="Atlar şu ýeri","",Info!B20)</f>
        <v>Husainow Serdar</v>
      </c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20"/>
      <c r="AB20" s="21" t="str">
        <f t="shared" si="1"/>
        <v/>
      </c>
      <c r="AC20" s="22" t="str">
        <f t="shared" si="2"/>
        <v/>
      </c>
      <c r="AD20" s="23" t="str">
        <f>IF(AC20="","","   "&amp;INDEX(Results!$W$6:$W$18,MATCH(AC20,Results!$V$6:$V$18,1)))</f>
        <v/>
      </c>
    </row>
    <row r="21" spans="1:30" x14ac:dyDescent="0.2">
      <c r="A21" s="18">
        <f t="shared" ca="1" si="0"/>
        <v>16</v>
      </c>
      <c r="B21" s="38" t="str">
        <f>IF(Info!B21="Atlar şu ýeri","",Info!B21)</f>
        <v>Orunowa Täçbibi</v>
      </c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20"/>
      <c r="AB21" s="21" t="str">
        <f t="shared" si="1"/>
        <v/>
      </c>
      <c r="AC21" s="22" t="str">
        <f t="shared" si="2"/>
        <v/>
      </c>
      <c r="AD21" s="23" t="str">
        <f>IF(AC21="","","   "&amp;INDEX(Results!$W$6:$W$18,MATCH(AC21,Results!$V$6:$V$18,1)))</f>
        <v/>
      </c>
    </row>
    <row r="22" spans="1:30" x14ac:dyDescent="0.2">
      <c r="A22" s="18">
        <f t="shared" ca="1" si="0"/>
        <v>17</v>
      </c>
      <c r="B22" s="38" t="str">
        <f>IF(Info!B22="Atlar şu ýeri","",Info!B22)</f>
        <v>Ilýasow Älem</v>
      </c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20"/>
      <c r="AB22" s="21" t="str">
        <f t="shared" si="1"/>
        <v/>
      </c>
      <c r="AC22" s="22" t="str">
        <f t="shared" si="2"/>
        <v/>
      </c>
      <c r="AD22" s="23" t="str">
        <f>IF(AC22="","","   "&amp;INDEX(Results!$W$6:$W$18,MATCH(AC22,Results!$V$6:$V$18,1)))</f>
        <v/>
      </c>
    </row>
    <row r="23" spans="1:30" x14ac:dyDescent="0.2">
      <c r="A23" s="18">
        <f t="shared" ca="1" si="0"/>
        <v>18</v>
      </c>
      <c r="B23" s="38" t="str">
        <f>IF(Info!B23="Atlar şu ýeri","",Info!B23)</f>
        <v>Karabaýew Begli</v>
      </c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20"/>
      <c r="AB23" s="21" t="str">
        <f t="shared" si="1"/>
        <v/>
      </c>
      <c r="AC23" s="22" t="str">
        <f t="shared" si="2"/>
        <v/>
      </c>
      <c r="AD23" s="23" t="str">
        <f>IF(AC23="","","   "&amp;INDEX(Results!$W$6:$W$18,MATCH(AC23,Results!$V$6:$V$18,1)))</f>
        <v/>
      </c>
    </row>
    <row r="24" spans="1:30" x14ac:dyDescent="0.2">
      <c r="A24" s="18">
        <f t="shared" ca="1" si="0"/>
        <v>19</v>
      </c>
      <c r="B24" s="38" t="str">
        <f>IF(Info!B24="Atlar şu ýeri","",Info!B24)</f>
        <v>Kurbanow Wekil</v>
      </c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20"/>
      <c r="AB24" s="21" t="str">
        <f t="shared" si="1"/>
        <v/>
      </c>
      <c r="AC24" s="22" t="str">
        <f t="shared" si="2"/>
        <v/>
      </c>
      <c r="AD24" s="23" t="str">
        <f>IF(AC24="","","   "&amp;INDEX(Results!$W$6:$W$18,MATCH(AC24,Results!$V$6:$V$18,1)))</f>
        <v/>
      </c>
    </row>
    <row r="25" spans="1:30" x14ac:dyDescent="0.2">
      <c r="A25" s="18">
        <f t="shared" ca="1" si="0"/>
        <v>20</v>
      </c>
      <c r="B25" s="38" t="str">
        <f>IF(Info!B25="Atlar şu ýeri","",Info!B25)</f>
        <v>Madraimow Seidjan</v>
      </c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20"/>
      <c r="AB25" s="21" t="str">
        <f t="shared" si="1"/>
        <v/>
      </c>
      <c r="AC25" s="22" t="str">
        <f t="shared" si="2"/>
        <v/>
      </c>
      <c r="AD25" s="23" t="str">
        <f>IF(AC25="","","   "&amp;INDEX(Results!$W$6:$W$18,MATCH(AC25,Results!$V$6:$V$18,1)))</f>
        <v/>
      </c>
    </row>
    <row r="26" spans="1:30" x14ac:dyDescent="0.2">
      <c r="A26" s="18">
        <f t="shared" ca="1" si="0"/>
        <v>21</v>
      </c>
      <c r="B26" s="38" t="str">
        <f>IF(Info!B26="Atlar şu ýeri","",Info!B26)</f>
        <v>Matmuradowa Gulnur</v>
      </c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20"/>
      <c r="AB26" s="21" t="str">
        <f t="shared" si="1"/>
        <v/>
      </c>
      <c r="AC26" s="22" t="str">
        <f t="shared" si="2"/>
        <v/>
      </c>
      <c r="AD26" s="23" t="str">
        <f>IF(AC26="","","   "&amp;INDEX(Results!$W$6:$W$18,MATCH(AC26,Results!$V$6:$V$18,1)))</f>
        <v/>
      </c>
    </row>
    <row r="27" spans="1:30" x14ac:dyDescent="0.2">
      <c r="A27" s="18">
        <f t="shared" ca="1" si="0"/>
        <v>22</v>
      </c>
      <c r="B27" s="38" t="str">
        <f>IF(Info!B27="Atlar şu ýeri","",Info!B27)</f>
        <v>Myradowa Aýjahan</v>
      </c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20"/>
      <c r="AB27" s="21" t="str">
        <f t="shared" si="1"/>
        <v/>
      </c>
      <c r="AC27" s="22" t="str">
        <f t="shared" si="2"/>
        <v/>
      </c>
      <c r="AD27" s="23" t="str">
        <f>IF(AC27="","","   "&amp;INDEX(Results!$W$6:$W$18,MATCH(AC27,Results!$V$6:$V$18,1)))</f>
        <v/>
      </c>
    </row>
    <row r="28" spans="1:30" x14ac:dyDescent="0.2">
      <c r="A28" s="18">
        <f t="shared" ca="1" si="0"/>
        <v>23</v>
      </c>
      <c r="B28" s="38" t="str">
        <f>IF(Info!B28="Atlar şu ýeri","",Info!B28)</f>
        <v>Osmanowa Ýyldyz</v>
      </c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20"/>
      <c r="AB28" s="21" t="str">
        <f t="shared" si="1"/>
        <v/>
      </c>
      <c r="AC28" s="22" t="str">
        <f t="shared" si="2"/>
        <v/>
      </c>
      <c r="AD28" s="23" t="str">
        <f>IF(AC28="","","   "&amp;INDEX(Results!$W$6:$W$18,MATCH(AC28,Results!$V$6:$V$18,1)))</f>
        <v/>
      </c>
    </row>
    <row r="29" spans="1:30" x14ac:dyDescent="0.2">
      <c r="A29" s="18">
        <f t="shared" ca="1" si="0"/>
        <v>24</v>
      </c>
      <c r="B29" s="38" t="str">
        <f>IF(Info!B29="Atlar şu ýeri","",Info!B29)</f>
        <v>Orazowa Aýnur</v>
      </c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20"/>
      <c r="AB29" s="21" t="str">
        <f t="shared" si="1"/>
        <v/>
      </c>
      <c r="AC29" s="22" t="str">
        <f t="shared" si="2"/>
        <v/>
      </c>
      <c r="AD29" s="23" t="str">
        <f>IF(AC29="","","   "&amp;INDEX(Results!$W$6:$W$18,MATCH(AC29,Results!$V$6:$V$18,1)))</f>
        <v/>
      </c>
    </row>
    <row r="30" spans="1:30" x14ac:dyDescent="0.2">
      <c r="A30" s="18">
        <f t="shared" ca="1" si="0"/>
        <v>25</v>
      </c>
      <c r="B30" s="38" t="str">
        <f>IF(Info!B30="Atlar şu ýeri","",Info!B30)</f>
        <v>Orunowa Aýjemal</v>
      </c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20"/>
      <c r="AB30" s="21" t="str">
        <f t="shared" si="1"/>
        <v/>
      </c>
      <c r="AC30" s="22" t="str">
        <f t="shared" si="2"/>
        <v/>
      </c>
      <c r="AD30" s="23" t="str">
        <f>IF(AC30="","","   "&amp;INDEX(Results!$W$6:$W$18,MATCH(AC30,Results!$V$6:$V$18,1)))</f>
        <v/>
      </c>
    </row>
    <row r="31" spans="1:30" x14ac:dyDescent="0.2">
      <c r="A31" s="18">
        <f t="shared" ca="1" si="0"/>
        <v>26</v>
      </c>
      <c r="B31" s="38" t="str">
        <f>IF(Info!B31="Atlar şu ýeri","",Info!B31)</f>
        <v>Öwezow Döwlet</v>
      </c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20"/>
      <c r="AB31" s="21" t="str">
        <f t="shared" si="1"/>
        <v/>
      </c>
      <c r="AC31" s="22" t="str">
        <f t="shared" si="2"/>
        <v/>
      </c>
      <c r="AD31" s="23" t="str">
        <f>IF(AC31="","","   "&amp;INDEX(Results!$W$6:$W$18,MATCH(AC31,Results!$V$6:$V$18,1)))</f>
        <v/>
      </c>
    </row>
    <row r="32" spans="1:30" x14ac:dyDescent="0.2">
      <c r="A32" s="18">
        <f t="shared" ca="1" si="0"/>
        <v>27</v>
      </c>
      <c r="B32" s="38" t="str">
        <f>IF(Info!B32="Atlar şu ýeri","",Info!B32)</f>
        <v>Piriýew Aýhan</v>
      </c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20"/>
      <c r="AB32" s="21" t="str">
        <f t="shared" si="1"/>
        <v/>
      </c>
      <c r="AC32" s="22" t="str">
        <f t="shared" si="2"/>
        <v/>
      </c>
      <c r="AD32" s="23" t="str">
        <f>IF(AC32="","","   "&amp;INDEX(Results!$W$6:$W$18,MATCH(AC32,Results!$V$6:$V$18,1)))</f>
        <v/>
      </c>
    </row>
    <row r="33" spans="1:30" x14ac:dyDescent="0.2">
      <c r="A33" s="18">
        <f t="shared" ca="1" si="0"/>
        <v>28</v>
      </c>
      <c r="B33" s="38" t="str">
        <f>IF(Info!B33="Atlar şu ýeri","",Info!B33)</f>
        <v>Taganow Sanjar</v>
      </c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20"/>
      <c r="AB33" s="21" t="str">
        <f t="shared" si="1"/>
        <v/>
      </c>
      <c r="AC33" s="22" t="str">
        <f t="shared" si="2"/>
        <v/>
      </c>
      <c r="AD33" s="23" t="str">
        <f>IF(AC33="","","   "&amp;INDEX(Results!$W$6:$W$18,MATCH(AC33,Results!$V$6:$V$18,1)))</f>
        <v/>
      </c>
    </row>
    <row r="34" spans="1:30" x14ac:dyDescent="0.2">
      <c r="A34" s="18">
        <f t="shared" ca="1" si="0"/>
        <v>29</v>
      </c>
      <c r="B34" s="38" t="str">
        <f>IF(Info!B40="Atlar şu ýeri","",Info!B40)</f>
        <v/>
      </c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20"/>
      <c r="AB34" s="21"/>
      <c r="AC34" s="22"/>
      <c r="AD34" s="23"/>
    </row>
    <row r="35" spans="1:30" x14ac:dyDescent="0.2">
      <c r="A35" s="18">
        <f t="shared" ca="1" si="0"/>
        <v>30</v>
      </c>
      <c r="B35" s="38" t="str">
        <f>IF(Info!B35="Atlar şu ýeri","",Info!B35)</f>
        <v>Ýagşybaýew Muhammet</v>
      </c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20"/>
      <c r="AB35" s="21"/>
      <c r="AC35" s="22"/>
      <c r="AD35" s="23"/>
    </row>
    <row r="36" spans="1:30" ht="6.75" customHeight="1" x14ac:dyDescent="0.2">
      <c r="A36" s="18">
        <f t="shared" ca="1" si="0"/>
        <v>31</v>
      </c>
      <c r="B36" s="38" t="str">
        <f>IF(Info!B36="Atlar şu ýeri","",Info!B36)</f>
        <v>Ýazberdiýewa Söýli</v>
      </c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20"/>
      <c r="AB36" s="21"/>
      <c r="AC36" s="22"/>
      <c r="AD36" s="23"/>
    </row>
    <row r="37" spans="1:30" x14ac:dyDescent="0.2">
      <c r="A37" s="18">
        <f t="shared" ca="1" si="0"/>
        <v>32</v>
      </c>
      <c r="B37" s="38" t="str">
        <f>IF(Info!B37="Atlar şu ýeri","",Info!B37)</f>
        <v>Ýazyýewa Meňli</v>
      </c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20"/>
      <c r="AB37" s="21"/>
      <c r="AC37" s="22"/>
      <c r="AD37" s="23"/>
    </row>
    <row r="38" spans="1:30" x14ac:dyDescent="0.2">
      <c r="A38" s="18">
        <f t="shared" ca="1" si="0"/>
        <v>33</v>
      </c>
      <c r="B38" s="38" t="str">
        <f>IF(Info!B38="Atlar şu ýeri","",Info!B38)</f>
        <v>Ýunusow Ýunus</v>
      </c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20"/>
      <c r="AB38" s="21"/>
      <c r="AC38" s="22"/>
      <c r="AD38" s="23"/>
    </row>
    <row r="39" spans="1:30" x14ac:dyDescent="0.2">
      <c r="A39" s="18">
        <f t="shared" ca="1" si="0"/>
        <v>34</v>
      </c>
      <c r="B39" s="38" t="str">
        <f>IF(Info!B39="Atlar şu ýeri","",Info!B39)</f>
        <v>Ýusupowa  Jahan</v>
      </c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20"/>
      <c r="AB39" s="21"/>
      <c r="AC39" s="22"/>
      <c r="AD39" s="23"/>
    </row>
    <row r="40" spans="1:30" x14ac:dyDescent="0.2">
      <c r="A40" s="18">
        <f t="shared" ca="1" si="0"/>
        <v>35</v>
      </c>
      <c r="B40" s="38" t="str">
        <f>IF(Info!B40="Atlar şu ýeri","",Info!B40)</f>
        <v/>
      </c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20"/>
      <c r="AB40" s="21"/>
      <c r="AC40" s="22"/>
      <c r="AD40" s="23"/>
    </row>
    <row r="41" spans="1:30" x14ac:dyDescent="0.2">
      <c r="A41" s="18">
        <f t="shared" ca="1" si="0"/>
        <v>36</v>
      </c>
      <c r="B41" s="38" t="str">
        <f>IF(Info!B41="Atlar şu ýeri","",Info!B41)</f>
        <v/>
      </c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20"/>
      <c r="AB41" s="21"/>
      <c r="AC41" s="22"/>
      <c r="AD41" s="23"/>
    </row>
    <row r="42" spans="1:30" x14ac:dyDescent="0.2">
      <c r="A42" s="18">
        <f t="shared" ca="1" si="0"/>
        <v>37</v>
      </c>
      <c r="B42" s="38" t="str">
        <f>IF(Info!B42="Atlar şu ýeri","",Info!B42)</f>
        <v/>
      </c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20"/>
      <c r="AB42" s="21"/>
      <c r="AC42" s="22"/>
      <c r="AD42" s="23"/>
    </row>
    <row r="43" spans="1:30" x14ac:dyDescent="0.2">
      <c r="A43" s="18">
        <f t="shared" ca="1" si="0"/>
        <v>38</v>
      </c>
      <c r="B43" s="38" t="str">
        <f>IF(Info!B43="Atlar şu ýeri","",Info!B43)</f>
        <v/>
      </c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20"/>
      <c r="AB43" s="21"/>
      <c r="AC43" s="22"/>
      <c r="AD43" s="23"/>
    </row>
  </sheetData>
  <mergeCells count="4">
    <mergeCell ref="AB3:AB4"/>
    <mergeCell ref="AC3:AC4"/>
    <mergeCell ref="AD3:AD4"/>
    <mergeCell ref="C1:T1"/>
  </mergeCell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D43"/>
  <sheetViews>
    <sheetView workbookViewId="0">
      <selection sqref="A1:AL43"/>
    </sheetView>
  </sheetViews>
  <sheetFormatPr defaultRowHeight="12.75" x14ac:dyDescent="0.2"/>
  <cols>
    <col min="1" max="1" width="3.7109375" style="1" customWidth="1"/>
    <col min="2" max="2" width="38" style="1" bestFit="1" customWidth="1"/>
    <col min="3" max="16" width="7.140625" style="1" customWidth="1"/>
    <col min="17" max="17" width="1.42578125" style="1" customWidth="1"/>
    <col min="18" max="18" width="7.5703125" style="1" customWidth="1"/>
    <col min="19" max="19" width="10.5703125" style="1" bestFit="1" customWidth="1"/>
    <col min="20" max="20" width="6.85546875" style="1" customWidth="1"/>
    <col min="21" max="21" width="5.28515625" style="1" customWidth="1"/>
    <col min="22" max="22" width="16.7109375" style="1" customWidth="1"/>
    <col min="23" max="16384" width="9.140625" style="1"/>
  </cols>
  <sheetData>
    <row r="1" spans="1:30" ht="19.5" x14ac:dyDescent="0.3">
      <c r="A1" s="2"/>
      <c r="B1" s="3" t="s">
        <v>56</v>
      </c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87"/>
      <c r="V1" s="87"/>
      <c r="W1" s="4"/>
      <c r="X1" s="4"/>
      <c r="Y1" s="4"/>
      <c r="Z1" s="4"/>
      <c r="AA1" s="4"/>
      <c r="AB1" s="4"/>
      <c r="AC1" s="6"/>
      <c r="AD1" s="6"/>
    </row>
    <row r="2" spans="1:30" ht="15" x14ac:dyDescent="0.25">
      <c r="A2" s="2"/>
      <c r="B2" s="7" t="s">
        <v>4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10"/>
    </row>
    <row r="3" spans="1:30" ht="42" customHeight="1" x14ac:dyDescent="0.25">
      <c r="A3" s="11"/>
      <c r="B3" s="12" t="s">
        <v>14</v>
      </c>
      <c r="C3" s="13" t="s">
        <v>15</v>
      </c>
      <c r="D3" s="13" t="s">
        <v>16</v>
      </c>
      <c r="E3" s="13" t="s">
        <v>17</v>
      </c>
      <c r="F3" s="13" t="s">
        <v>18</v>
      </c>
      <c r="G3" s="13" t="s">
        <v>19</v>
      </c>
      <c r="H3" s="13" t="s">
        <v>20</v>
      </c>
      <c r="I3" s="13" t="s">
        <v>21</v>
      </c>
      <c r="J3" s="13" t="s">
        <v>22</v>
      </c>
      <c r="K3" s="13" t="s">
        <v>23</v>
      </c>
      <c r="L3" s="13" t="s">
        <v>24</v>
      </c>
      <c r="M3" s="13" t="s">
        <v>25</v>
      </c>
      <c r="N3" s="13" t="s">
        <v>26</v>
      </c>
      <c r="O3" s="13" t="s">
        <v>27</v>
      </c>
      <c r="P3" s="13" t="s">
        <v>28</v>
      </c>
      <c r="Q3" s="13" t="s">
        <v>46</v>
      </c>
      <c r="R3" s="13" t="s">
        <v>47</v>
      </c>
      <c r="S3" s="13" t="s">
        <v>48</v>
      </c>
      <c r="T3" s="13" t="s">
        <v>49</v>
      </c>
      <c r="U3" s="13" t="s">
        <v>50</v>
      </c>
      <c r="V3" s="13" t="s">
        <v>51</v>
      </c>
      <c r="W3" s="13" t="s">
        <v>52</v>
      </c>
      <c r="X3" s="13" t="s">
        <v>53</v>
      </c>
      <c r="Y3" s="13" t="s">
        <v>54</v>
      </c>
      <c r="Z3" s="13" t="s">
        <v>55</v>
      </c>
      <c r="AA3" s="14"/>
      <c r="AB3" s="97" t="s">
        <v>29</v>
      </c>
      <c r="AC3" s="98" t="s">
        <v>36</v>
      </c>
      <c r="AD3" s="99" t="s">
        <v>35</v>
      </c>
    </row>
    <row r="4" spans="1:30" x14ac:dyDescent="0.2">
      <c r="A4" s="11"/>
      <c r="B4" s="15" t="s">
        <v>30</v>
      </c>
      <c r="C4" s="16">
        <v>5</v>
      </c>
      <c r="D4" s="16">
        <v>5</v>
      </c>
      <c r="E4" s="16">
        <v>5</v>
      </c>
      <c r="F4" s="16">
        <v>5</v>
      </c>
      <c r="G4" s="16">
        <v>5</v>
      </c>
      <c r="H4" s="16">
        <v>5</v>
      </c>
      <c r="I4" s="16">
        <v>5</v>
      </c>
      <c r="J4" s="16">
        <v>5</v>
      </c>
      <c r="K4" s="16">
        <v>5</v>
      </c>
      <c r="L4" s="16">
        <v>5</v>
      </c>
      <c r="M4" s="16">
        <v>5</v>
      </c>
      <c r="N4" s="16">
        <v>5</v>
      </c>
      <c r="O4" s="16">
        <v>5</v>
      </c>
      <c r="P4" s="16">
        <v>5</v>
      </c>
      <c r="Q4" s="16">
        <v>5</v>
      </c>
      <c r="R4" s="16">
        <v>5</v>
      </c>
      <c r="S4" s="16">
        <v>5</v>
      </c>
      <c r="T4" s="16">
        <v>5</v>
      </c>
      <c r="U4" s="16">
        <v>5</v>
      </c>
      <c r="V4" s="16">
        <v>5</v>
      </c>
      <c r="W4" s="16">
        <v>5</v>
      </c>
      <c r="X4" s="16">
        <v>5</v>
      </c>
      <c r="Y4" s="16">
        <v>5</v>
      </c>
      <c r="Z4" s="16">
        <v>5</v>
      </c>
      <c r="AA4" s="17"/>
      <c r="AB4" s="97"/>
      <c r="AC4" s="97"/>
      <c r="AD4" s="97"/>
    </row>
    <row r="5" spans="1:30" ht="6" customHeight="1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18">
        <f t="shared" ref="A6:A43" ca="1" si="0">OFFSET(A6,-1,0,1,1)+1</f>
        <v>1</v>
      </c>
      <c r="B6" s="38" t="str">
        <f>IF(Info!B6="Atlar şu ýeri","",Info!B6)</f>
        <v>Abdullaýewa Dinara</v>
      </c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20"/>
      <c r="AB6" s="21" t="str">
        <f t="shared" ref="AB6:AB33" si="1">IF(SUM(C6:Z6)=0,"",SUMPRODUCT(C6:Z6))</f>
        <v/>
      </c>
      <c r="AC6" s="22" t="str">
        <f t="shared" ref="AC6:AC33" si="2">IF(SUM(C6:Z6)=0,"",AB6/(SUMIF(C6:Z6,"&lt;&gt;",$C$4:$Z$4)-SUMIF(C6:Z6,"=E",$C$4:$Z$4)))</f>
        <v/>
      </c>
      <c r="AD6" s="23" t="str">
        <f>IF(AC6="","","   "&amp;INDEX(Results!$W$6:$W$18,MATCH(AC6,Results!$V$6:$V$18,1)))</f>
        <v/>
      </c>
    </row>
    <row r="7" spans="1:30" x14ac:dyDescent="0.2">
      <c r="A7" s="18">
        <f t="shared" ca="1" si="0"/>
        <v>2</v>
      </c>
      <c r="B7" s="38" t="str">
        <f>IF(Info!B7="Atlar şu ýeri","",Info!B7)</f>
        <v>Arslanow Yhlas</v>
      </c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20"/>
      <c r="AB7" s="21" t="str">
        <f t="shared" si="1"/>
        <v/>
      </c>
      <c r="AC7" s="22" t="str">
        <f t="shared" si="2"/>
        <v/>
      </c>
      <c r="AD7" s="23" t="str">
        <f>IF(AC7="","","   "&amp;INDEX(Results!$W$6:$W$18,MATCH(AC7,Results!$V$6:$V$18,1)))</f>
        <v/>
      </c>
    </row>
    <row r="8" spans="1:30" x14ac:dyDescent="0.2">
      <c r="A8" s="18">
        <f t="shared" ca="1" si="0"/>
        <v>3</v>
      </c>
      <c r="B8" s="38" t="str">
        <f>IF(Info!B8="Atlar şu ýeri","",Info!B8)</f>
        <v>Aşyrowa Maýsa</v>
      </c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20"/>
      <c r="AB8" s="21" t="str">
        <f t="shared" si="1"/>
        <v/>
      </c>
      <c r="AC8" s="22" t="str">
        <f t="shared" si="2"/>
        <v/>
      </c>
      <c r="AD8" s="23" t="str">
        <f>IF(AC8="","","   "&amp;INDEX(Results!$W$6:$W$18,MATCH(AC8,Results!$V$6:$V$18,1)))</f>
        <v/>
      </c>
    </row>
    <row r="9" spans="1:30" x14ac:dyDescent="0.2">
      <c r="A9" s="18">
        <f t="shared" ca="1" si="0"/>
        <v>4</v>
      </c>
      <c r="B9" s="38" t="str">
        <f>IF(Info!B9="Atlar şu ýeri","",Info!B9)</f>
        <v>Atabaýewa Ogulaý</v>
      </c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20"/>
      <c r="AB9" s="21" t="str">
        <f t="shared" si="1"/>
        <v/>
      </c>
      <c r="AC9" s="22" t="str">
        <f t="shared" si="2"/>
        <v/>
      </c>
      <c r="AD9" s="23" t="str">
        <f>IF(AC9="","","   "&amp;INDEX(Results!$W$6:$W$18,MATCH(AC9,Results!$V$6:$V$18,1)))</f>
        <v/>
      </c>
    </row>
    <row r="10" spans="1:30" x14ac:dyDescent="0.2">
      <c r="A10" s="18">
        <f t="shared" ca="1" si="0"/>
        <v>5</v>
      </c>
      <c r="B10" s="38" t="str">
        <f>IF(Info!B10="Atlar şu ýeri","",Info!B10)</f>
        <v>Atanazarow Meýlis</v>
      </c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20"/>
      <c r="AB10" s="21" t="str">
        <f t="shared" si="1"/>
        <v/>
      </c>
      <c r="AC10" s="22" t="str">
        <f t="shared" si="2"/>
        <v/>
      </c>
      <c r="AD10" s="23" t="str">
        <f>IF(AC10="","","   "&amp;INDEX(Results!$W$6:$W$18,MATCH(AC10,Results!$V$6:$V$18,1)))</f>
        <v/>
      </c>
    </row>
    <row r="11" spans="1:30" x14ac:dyDescent="0.2">
      <c r="A11" s="18">
        <f t="shared" ca="1" si="0"/>
        <v>6</v>
      </c>
      <c r="B11" s="38" t="str">
        <f>IF(Info!B11="Atlar şu ýeri","",Info!B11)</f>
        <v>Babajanowa Aýlar</v>
      </c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20"/>
      <c r="AB11" s="21" t="str">
        <f t="shared" si="1"/>
        <v/>
      </c>
      <c r="AC11" s="22" t="str">
        <f t="shared" si="2"/>
        <v/>
      </c>
      <c r="AD11" s="23" t="str">
        <f>IF(AC11="","","   "&amp;INDEX(Results!$W$6:$W$18,MATCH(AC11,Results!$V$6:$V$18,1)))</f>
        <v/>
      </c>
    </row>
    <row r="12" spans="1:30" x14ac:dyDescent="0.2">
      <c r="A12" s="18">
        <f t="shared" ca="1" si="0"/>
        <v>7</v>
      </c>
      <c r="B12" s="38" t="str">
        <f>IF(Info!B12="Atlar şu ýeri","",Info!B12)</f>
        <v>Babajanowa Selbi</v>
      </c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20"/>
      <c r="AB12" s="21" t="str">
        <f t="shared" si="1"/>
        <v/>
      </c>
      <c r="AC12" s="22" t="str">
        <f t="shared" si="2"/>
        <v/>
      </c>
      <c r="AD12" s="23" t="str">
        <f>IF(AC12="","","   "&amp;INDEX(Results!$W$6:$W$18,MATCH(AC12,Results!$V$6:$V$18,1)))</f>
        <v/>
      </c>
    </row>
    <row r="13" spans="1:30" x14ac:dyDescent="0.2">
      <c r="A13" s="18">
        <f t="shared" ca="1" si="0"/>
        <v>8</v>
      </c>
      <c r="B13" s="38" t="str">
        <f>IF(Info!B13="Atlar şu ýeri","",Info!B13)</f>
        <v>Ataýew Nurgeldi</v>
      </c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20"/>
      <c r="AB13" s="21" t="str">
        <f t="shared" si="1"/>
        <v/>
      </c>
      <c r="AC13" s="22" t="str">
        <f t="shared" si="2"/>
        <v/>
      </c>
      <c r="AD13" s="23" t="str">
        <f>IF(AC13="","","   "&amp;INDEX(Results!$W$6:$W$18,MATCH(AC13,Results!$V$6:$V$18,1)))</f>
        <v/>
      </c>
    </row>
    <row r="14" spans="1:30" x14ac:dyDescent="0.2">
      <c r="A14" s="18">
        <f t="shared" ca="1" si="0"/>
        <v>9</v>
      </c>
      <c r="B14" s="38" t="str">
        <f>IF(Info!B14="Atlar şu ýeri","",Info!B14)</f>
        <v>Batyrow Arafat</v>
      </c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20"/>
      <c r="AB14" s="21" t="str">
        <f t="shared" si="1"/>
        <v/>
      </c>
      <c r="AC14" s="22" t="str">
        <f t="shared" si="2"/>
        <v/>
      </c>
      <c r="AD14" s="23" t="str">
        <f>IF(AC14="","","   "&amp;INDEX(Results!$W$6:$W$18,MATCH(AC14,Results!$V$6:$V$18,1)))</f>
        <v/>
      </c>
    </row>
    <row r="15" spans="1:30" x14ac:dyDescent="0.2">
      <c r="A15" s="18">
        <f t="shared" ca="1" si="0"/>
        <v>10</v>
      </c>
      <c r="B15" s="38" t="str">
        <f>IF(Info!B15="Atlar şu ýeri","",Info!B15)</f>
        <v>Çaryýew Kemal</v>
      </c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20"/>
      <c r="AB15" s="21" t="str">
        <f t="shared" si="1"/>
        <v/>
      </c>
      <c r="AC15" s="22" t="str">
        <f t="shared" si="2"/>
        <v/>
      </c>
      <c r="AD15" s="23" t="str">
        <f>IF(AC15="","","   "&amp;INDEX(Results!$W$6:$W$18,MATCH(AC15,Results!$V$6:$V$18,1)))</f>
        <v/>
      </c>
    </row>
    <row r="16" spans="1:30" x14ac:dyDescent="0.2">
      <c r="A16" s="18">
        <f t="shared" ca="1" si="0"/>
        <v>11</v>
      </c>
      <c r="B16" s="38" t="str">
        <f>IF(Info!B16="Atlar şu ýeri","",Info!B16)</f>
        <v>Gurbanow Mekanmyrat</v>
      </c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20"/>
      <c r="AB16" s="21" t="str">
        <f t="shared" si="1"/>
        <v/>
      </c>
      <c r="AC16" s="22" t="str">
        <f t="shared" si="2"/>
        <v/>
      </c>
      <c r="AD16" s="23" t="str">
        <f>IF(AC16="","","   "&amp;INDEX(Results!$W$6:$W$18,MATCH(AC16,Results!$V$6:$V$18,1)))</f>
        <v/>
      </c>
    </row>
    <row r="17" spans="1:30" x14ac:dyDescent="0.2">
      <c r="A17" s="18">
        <f t="shared" ca="1" si="0"/>
        <v>12</v>
      </c>
      <c r="B17" s="38" t="str">
        <f>IF(Info!B17="Atlar şu ýeri","",Info!B17)</f>
        <v>Hojamuhammedow Guwanç</v>
      </c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20"/>
      <c r="AB17" s="21" t="str">
        <f t="shared" si="1"/>
        <v/>
      </c>
      <c r="AC17" s="22" t="str">
        <f t="shared" si="2"/>
        <v/>
      </c>
      <c r="AD17" s="23" t="str">
        <f>IF(AC17="","","   "&amp;INDEX(Results!$W$6:$W$18,MATCH(AC17,Results!$V$6:$V$18,1)))</f>
        <v/>
      </c>
    </row>
    <row r="18" spans="1:30" x14ac:dyDescent="0.2">
      <c r="A18" s="18">
        <f t="shared" ca="1" si="0"/>
        <v>13</v>
      </c>
      <c r="B18" s="38" t="str">
        <f>IF(Info!B18="Atlar şu ýeri","",Info!B18)</f>
        <v xml:space="preserve">Hojamämmedow  </v>
      </c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20"/>
      <c r="AB18" s="21" t="str">
        <f t="shared" si="1"/>
        <v/>
      </c>
      <c r="AC18" s="22" t="str">
        <f t="shared" si="2"/>
        <v/>
      </c>
      <c r="AD18" s="23" t="str">
        <f>IF(AC18="","","   "&amp;INDEX(Results!$W$6:$W$18,MATCH(AC18,Results!$V$6:$V$18,1)))</f>
        <v/>
      </c>
    </row>
    <row r="19" spans="1:30" x14ac:dyDescent="0.2">
      <c r="A19" s="18">
        <f t="shared" ca="1" si="0"/>
        <v>14</v>
      </c>
      <c r="B19" s="38" t="str">
        <f>IF(Info!B19="Atlar şu ýeri","",Info!B19)</f>
        <v>Hanowa Gülälek</v>
      </c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20"/>
      <c r="AB19" s="21" t="str">
        <f t="shared" si="1"/>
        <v/>
      </c>
      <c r="AC19" s="22" t="str">
        <f t="shared" si="2"/>
        <v/>
      </c>
      <c r="AD19" s="23" t="str">
        <f>IF(AC19="","","   "&amp;INDEX(Results!$W$6:$W$18,MATCH(AC19,Results!$V$6:$V$18,1)))</f>
        <v/>
      </c>
    </row>
    <row r="20" spans="1:30" x14ac:dyDescent="0.2">
      <c r="A20" s="18">
        <f t="shared" ca="1" si="0"/>
        <v>15</v>
      </c>
      <c r="B20" s="38" t="str">
        <f>IF(Info!B20="Atlar şu ýeri","",Info!B20)</f>
        <v>Husainow Serdar</v>
      </c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20"/>
      <c r="AB20" s="21" t="str">
        <f t="shared" si="1"/>
        <v/>
      </c>
      <c r="AC20" s="22" t="str">
        <f t="shared" si="2"/>
        <v/>
      </c>
      <c r="AD20" s="23" t="str">
        <f>IF(AC20="","","   "&amp;INDEX(Results!$W$6:$W$18,MATCH(AC20,Results!$V$6:$V$18,1)))</f>
        <v/>
      </c>
    </row>
    <row r="21" spans="1:30" x14ac:dyDescent="0.2">
      <c r="A21" s="18">
        <f t="shared" ca="1" si="0"/>
        <v>16</v>
      </c>
      <c r="B21" s="38" t="str">
        <f>IF(Info!B21="Atlar şu ýeri","",Info!B21)</f>
        <v>Orunowa Täçbibi</v>
      </c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20"/>
      <c r="AB21" s="21" t="str">
        <f t="shared" si="1"/>
        <v/>
      </c>
      <c r="AC21" s="22" t="str">
        <f t="shared" si="2"/>
        <v/>
      </c>
      <c r="AD21" s="23" t="str">
        <f>IF(AC21="","","   "&amp;INDEX(Results!$W$6:$W$18,MATCH(AC21,Results!$V$6:$V$18,1)))</f>
        <v/>
      </c>
    </row>
    <row r="22" spans="1:30" x14ac:dyDescent="0.2">
      <c r="A22" s="18">
        <f t="shared" ca="1" si="0"/>
        <v>17</v>
      </c>
      <c r="B22" s="38" t="str">
        <f>IF(Info!B22="Atlar şu ýeri","",Info!B22)</f>
        <v>Ilýasow Älem</v>
      </c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20"/>
      <c r="AB22" s="21" t="str">
        <f t="shared" si="1"/>
        <v/>
      </c>
      <c r="AC22" s="22" t="str">
        <f t="shared" si="2"/>
        <v/>
      </c>
      <c r="AD22" s="23" t="str">
        <f>IF(AC22="","","   "&amp;INDEX(Results!$W$6:$W$18,MATCH(AC22,Results!$V$6:$V$18,1)))</f>
        <v/>
      </c>
    </row>
    <row r="23" spans="1:30" x14ac:dyDescent="0.2">
      <c r="A23" s="18">
        <f t="shared" ca="1" si="0"/>
        <v>18</v>
      </c>
      <c r="B23" s="38" t="str">
        <f>IF(Info!B23="Atlar şu ýeri","",Info!B23)</f>
        <v>Karabaýew Begli</v>
      </c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20"/>
      <c r="AB23" s="21" t="str">
        <f t="shared" si="1"/>
        <v/>
      </c>
      <c r="AC23" s="22" t="str">
        <f t="shared" si="2"/>
        <v/>
      </c>
      <c r="AD23" s="23" t="str">
        <f>IF(AC23="","","   "&amp;INDEX(Results!$W$6:$W$18,MATCH(AC23,Results!$V$6:$V$18,1)))</f>
        <v/>
      </c>
    </row>
    <row r="24" spans="1:30" x14ac:dyDescent="0.2">
      <c r="A24" s="18">
        <f t="shared" ca="1" si="0"/>
        <v>19</v>
      </c>
      <c r="B24" s="38" t="str">
        <f>IF(Info!B24="Atlar şu ýeri","",Info!B24)</f>
        <v>Kurbanow Wekil</v>
      </c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20"/>
      <c r="AB24" s="21" t="str">
        <f t="shared" si="1"/>
        <v/>
      </c>
      <c r="AC24" s="22" t="str">
        <f t="shared" si="2"/>
        <v/>
      </c>
      <c r="AD24" s="23" t="str">
        <f>IF(AC24="","","   "&amp;INDEX(Results!$W$6:$W$18,MATCH(AC24,Results!$V$6:$V$18,1)))</f>
        <v/>
      </c>
    </row>
    <row r="25" spans="1:30" x14ac:dyDescent="0.2">
      <c r="A25" s="18">
        <f t="shared" ca="1" si="0"/>
        <v>20</v>
      </c>
      <c r="B25" s="38" t="str">
        <f>IF(Info!B25="Atlar şu ýeri","",Info!B25)</f>
        <v>Madraimow Seidjan</v>
      </c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20"/>
      <c r="AB25" s="21" t="str">
        <f t="shared" si="1"/>
        <v/>
      </c>
      <c r="AC25" s="22" t="str">
        <f t="shared" si="2"/>
        <v/>
      </c>
      <c r="AD25" s="23" t="str">
        <f>IF(AC25="","","   "&amp;INDEX(Results!$W$6:$W$18,MATCH(AC25,Results!$V$6:$V$18,1)))</f>
        <v/>
      </c>
    </row>
    <row r="26" spans="1:30" x14ac:dyDescent="0.2">
      <c r="A26" s="18">
        <f t="shared" ca="1" si="0"/>
        <v>21</v>
      </c>
      <c r="B26" s="38" t="str">
        <f>IF(Info!B26="Atlar şu ýeri","",Info!B26)</f>
        <v>Matmuradowa Gulnur</v>
      </c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20"/>
      <c r="AB26" s="21" t="str">
        <f t="shared" si="1"/>
        <v/>
      </c>
      <c r="AC26" s="22" t="str">
        <f t="shared" si="2"/>
        <v/>
      </c>
      <c r="AD26" s="23" t="str">
        <f>IF(AC26="","","   "&amp;INDEX(Results!$W$6:$W$18,MATCH(AC26,Results!$V$6:$V$18,1)))</f>
        <v/>
      </c>
    </row>
    <row r="27" spans="1:30" x14ac:dyDescent="0.2">
      <c r="A27" s="18">
        <f t="shared" ca="1" si="0"/>
        <v>22</v>
      </c>
      <c r="B27" s="38" t="str">
        <f>IF(Info!B27="Atlar şu ýeri","",Info!B27)</f>
        <v>Myradowa Aýjahan</v>
      </c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20"/>
      <c r="AB27" s="21" t="str">
        <f t="shared" si="1"/>
        <v/>
      </c>
      <c r="AC27" s="22" t="str">
        <f t="shared" si="2"/>
        <v/>
      </c>
      <c r="AD27" s="23" t="str">
        <f>IF(AC27="","","   "&amp;INDEX(Results!$W$6:$W$18,MATCH(AC27,Results!$V$6:$V$18,1)))</f>
        <v/>
      </c>
    </row>
    <row r="28" spans="1:30" x14ac:dyDescent="0.2">
      <c r="A28" s="18">
        <f t="shared" ca="1" si="0"/>
        <v>23</v>
      </c>
      <c r="B28" s="38" t="str">
        <f>IF(Info!B28="Atlar şu ýeri","",Info!B28)</f>
        <v>Osmanowa Ýyldyz</v>
      </c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20"/>
      <c r="AB28" s="21" t="str">
        <f t="shared" si="1"/>
        <v/>
      </c>
      <c r="AC28" s="22" t="str">
        <f t="shared" si="2"/>
        <v/>
      </c>
      <c r="AD28" s="23" t="str">
        <f>IF(AC28="","","   "&amp;INDEX(Results!$W$6:$W$18,MATCH(AC28,Results!$V$6:$V$18,1)))</f>
        <v/>
      </c>
    </row>
    <row r="29" spans="1:30" x14ac:dyDescent="0.2">
      <c r="A29" s="18">
        <f t="shared" ca="1" si="0"/>
        <v>24</v>
      </c>
      <c r="B29" s="38" t="str">
        <f>IF(Info!B29="Atlar şu ýeri","",Info!B29)</f>
        <v>Orazowa Aýnur</v>
      </c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20"/>
      <c r="AB29" s="21" t="str">
        <f t="shared" si="1"/>
        <v/>
      </c>
      <c r="AC29" s="22" t="str">
        <f t="shared" si="2"/>
        <v/>
      </c>
      <c r="AD29" s="23" t="str">
        <f>IF(AC29="","","   "&amp;INDEX(Results!$W$6:$W$18,MATCH(AC29,Results!$V$6:$V$18,1)))</f>
        <v/>
      </c>
    </row>
    <row r="30" spans="1:30" x14ac:dyDescent="0.2">
      <c r="A30" s="18">
        <f t="shared" ca="1" si="0"/>
        <v>25</v>
      </c>
      <c r="B30" s="38" t="str">
        <f>IF(Info!B30="Atlar şu ýeri","",Info!B30)</f>
        <v>Orunowa Aýjemal</v>
      </c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20"/>
      <c r="AB30" s="21" t="str">
        <f t="shared" si="1"/>
        <v/>
      </c>
      <c r="AC30" s="22" t="str">
        <f t="shared" si="2"/>
        <v/>
      </c>
      <c r="AD30" s="23" t="str">
        <f>IF(AC30="","","   "&amp;INDEX(Results!$W$6:$W$18,MATCH(AC30,Results!$V$6:$V$18,1)))</f>
        <v/>
      </c>
    </row>
    <row r="31" spans="1:30" x14ac:dyDescent="0.2">
      <c r="A31" s="18">
        <f t="shared" ca="1" si="0"/>
        <v>26</v>
      </c>
      <c r="B31" s="38" t="str">
        <f>IF(Info!B31="Atlar şu ýeri","",Info!B31)</f>
        <v>Öwezow Döwlet</v>
      </c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20"/>
      <c r="AB31" s="21" t="str">
        <f t="shared" si="1"/>
        <v/>
      </c>
      <c r="AC31" s="22" t="str">
        <f t="shared" si="2"/>
        <v/>
      </c>
      <c r="AD31" s="23" t="str">
        <f>IF(AC31="","","   "&amp;INDEX(Results!$W$6:$W$18,MATCH(AC31,Results!$V$6:$V$18,1)))</f>
        <v/>
      </c>
    </row>
    <row r="32" spans="1:30" x14ac:dyDescent="0.2">
      <c r="A32" s="18">
        <f t="shared" ca="1" si="0"/>
        <v>27</v>
      </c>
      <c r="B32" s="38" t="str">
        <f>IF(Info!B32="Atlar şu ýeri","",Info!B32)</f>
        <v>Piriýew Aýhan</v>
      </c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20"/>
      <c r="AB32" s="21" t="str">
        <f t="shared" si="1"/>
        <v/>
      </c>
      <c r="AC32" s="22" t="str">
        <f t="shared" si="2"/>
        <v/>
      </c>
      <c r="AD32" s="23" t="str">
        <f>IF(AC32="","","   "&amp;INDEX(Results!$W$6:$W$18,MATCH(AC32,Results!$V$6:$V$18,1)))</f>
        <v/>
      </c>
    </row>
    <row r="33" spans="1:30" x14ac:dyDescent="0.2">
      <c r="A33" s="18">
        <f t="shared" ca="1" si="0"/>
        <v>28</v>
      </c>
      <c r="B33" s="38" t="str">
        <f>IF(Info!B33="Atlar şu ýeri","",Info!B33)</f>
        <v>Taganow Sanjar</v>
      </c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20"/>
      <c r="AB33" s="21" t="str">
        <f t="shared" si="1"/>
        <v/>
      </c>
      <c r="AC33" s="22" t="str">
        <f t="shared" si="2"/>
        <v/>
      </c>
      <c r="AD33" s="23" t="str">
        <f>IF(AC33="","","   "&amp;INDEX(Results!$W$6:$W$18,MATCH(AC33,Results!$V$6:$V$18,1)))</f>
        <v/>
      </c>
    </row>
    <row r="34" spans="1:30" x14ac:dyDescent="0.2">
      <c r="A34" s="18">
        <f t="shared" ca="1" si="0"/>
        <v>29</v>
      </c>
      <c r="B34" s="38" t="str">
        <f>IF(Info!B40="Atlar şu ýeri","",Info!B40)</f>
        <v/>
      </c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20"/>
      <c r="AB34" s="21"/>
      <c r="AC34" s="22"/>
      <c r="AD34" s="23"/>
    </row>
    <row r="35" spans="1:30" x14ac:dyDescent="0.2">
      <c r="A35" s="18">
        <f t="shared" ca="1" si="0"/>
        <v>30</v>
      </c>
      <c r="B35" s="38" t="str">
        <f>IF(Info!B35="Atlar şu ýeri","",Info!B35)</f>
        <v>Ýagşybaýew Muhammet</v>
      </c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20"/>
      <c r="AB35" s="21"/>
      <c r="AC35" s="22"/>
      <c r="AD35" s="23"/>
    </row>
    <row r="36" spans="1:30" ht="6.75" customHeight="1" x14ac:dyDescent="0.2">
      <c r="A36" s="18">
        <f t="shared" ca="1" si="0"/>
        <v>31</v>
      </c>
      <c r="B36" s="38" t="str">
        <f>IF(Info!B36="Atlar şu ýeri","",Info!B36)</f>
        <v>Ýazberdiýewa Söýli</v>
      </c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20"/>
      <c r="AB36" s="21"/>
      <c r="AC36" s="22"/>
      <c r="AD36" s="23"/>
    </row>
    <row r="37" spans="1:30" x14ac:dyDescent="0.2">
      <c r="A37" s="18">
        <f t="shared" ca="1" si="0"/>
        <v>32</v>
      </c>
      <c r="B37" s="38" t="str">
        <f>IF(Info!B37="Atlar şu ýeri","",Info!B37)</f>
        <v>Ýazyýewa Meňli</v>
      </c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20"/>
      <c r="AB37" s="21"/>
      <c r="AC37" s="22"/>
      <c r="AD37" s="23"/>
    </row>
    <row r="38" spans="1:30" x14ac:dyDescent="0.2">
      <c r="A38" s="18">
        <f t="shared" ca="1" si="0"/>
        <v>33</v>
      </c>
      <c r="B38" s="38" t="str">
        <f>IF(Info!B38="Atlar şu ýeri","",Info!B38)</f>
        <v>Ýunusow Ýunus</v>
      </c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20"/>
      <c r="AB38" s="21"/>
      <c r="AC38" s="22"/>
      <c r="AD38" s="23"/>
    </row>
    <row r="39" spans="1:30" x14ac:dyDescent="0.2">
      <c r="A39" s="18">
        <f t="shared" ca="1" si="0"/>
        <v>34</v>
      </c>
      <c r="B39" s="38" t="str">
        <f>IF(Info!B39="Atlar şu ýeri","",Info!B39)</f>
        <v>Ýusupowa  Jahan</v>
      </c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20"/>
      <c r="AB39" s="21"/>
      <c r="AC39" s="22"/>
      <c r="AD39" s="23"/>
    </row>
    <row r="40" spans="1:30" x14ac:dyDescent="0.2">
      <c r="A40" s="18">
        <f t="shared" ca="1" si="0"/>
        <v>35</v>
      </c>
      <c r="B40" s="38" t="str">
        <f>IF(Info!B40="Atlar şu ýeri","",Info!B40)</f>
        <v/>
      </c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20"/>
      <c r="AB40" s="21"/>
      <c r="AC40" s="22"/>
      <c r="AD40" s="23"/>
    </row>
    <row r="41" spans="1:30" x14ac:dyDescent="0.2">
      <c r="A41" s="18">
        <f t="shared" ca="1" si="0"/>
        <v>36</v>
      </c>
      <c r="B41" s="38" t="str">
        <f>IF(Info!B41="Atlar şu ýeri","",Info!B41)</f>
        <v/>
      </c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20"/>
      <c r="AB41" s="21"/>
      <c r="AC41" s="22"/>
      <c r="AD41" s="23"/>
    </row>
    <row r="42" spans="1:30" x14ac:dyDescent="0.2">
      <c r="A42" s="18">
        <f t="shared" ca="1" si="0"/>
        <v>37</v>
      </c>
      <c r="B42" s="38" t="str">
        <f>IF(Info!B42="Atlar şu ýeri","",Info!B42)</f>
        <v/>
      </c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20"/>
      <c r="AB42" s="21"/>
      <c r="AC42" s="22"/>
      <c r="AD42" s="23"/>
    </row>
    <row r="43" spans="1:30" x14ac:dyDescent="0.2">
      <c r="A43" s="18">
        <f t="shared" ca="1" si="0"/>
        <v>38</v>
      </c>
      <c r="B43" s="38" t="str">
        <f>IF(Info!B43="Atlar şu ýeri","",Info!B43)</f>
        <v/>
      </c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20"/>
      <c r="AB43" s="21"/>
      <c r="AC43" s="22"/>
      <c r="AD43" s="23"/>
    </row>
  </sheetData>
  <mergeCells count="4">
    <mergeCell ref="AB3:AB4"/>
    <mergeCell ref="AC3:AC4"/>
    <mergeCell ref="AD3:AD4"/>
    <mergeCell ref="C1:T1"/>
  </mergeCell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F49"/>
  <sheetViews>
    <sheetView topLeftCell="L1" workbookViewId="0">
      <selection activeCell="V26" sqref="V26"/>
    </sheetView>
  </sheetViews>
  <sheetFormatPr defaultRowHeight="12.75" x14ac:dyDescent="0.2"/>
  <cols>
    <col min="1" max="1" width="3.7109375" style="1" customWidth="1"/>
    <col min="2" max="2" width="37.42578125" style="1" bestFit="1" customWidth="1"/>
    <col min="3" max="3" width="9" style="1" bestFit="1" customWidth="1"/>
    <col min="4" max="16" width="9" style="1" customWidth="1"/>
    <col min="17" max="18" width="7.140625" style="1" customWidth="1"/>
    <col min="19" max="19" width="7.85546875" style="1" bestFit="1" customWidth="1"/>
    <col min="20" max="26" width="7.140625" style="1" customWidth="1"/>
    <col min="27" max="27" width="1.42578125" style="1" customWidth="1"/>
    <col min="28" max="28" width="7.5703125" style="1" customWidth="1"/>
    <col min="29" max="29" width="10.5703125" style="1" bestFit="1" customWidth="1"/>
    <col min="30" max="30" width="6.85546875" style="1" customWidth="1"/>
    <col min="31" max="31" width="5.28515625" style="1" customWidth="1"/>
    <col min="32" max="32" width="16.7109375" style="1" customWidth="1"/>
    <col min="33" max="16384" width="9.140625" style="1"/>
  </cols>
  <sheetData>
    <row r="1" spans="1:30" ht="19.5" x14ac:dyDescent="0.3">
      <c r="A1" s="2"/>
      <c r="B1" s="3" t="s">
        <v>153</v>
      </c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87"/>
      <c r="V1" s="87"/>
      <c r="W1" s="4"/>
      <c r="X1" s="4"/>
      <c r="Y1" s="4"/>
      <c r="Z1" s="4"/>
      <c r="AA1" s="4"/>
      <c r="AB1" s="4"/>
      <c r="AC1" s="6"/>
      <c r="AD1" s="6"/>
    </row>
    <row r="2" spans="1:30" ht="15" x14ac:dyDescent="0.25">
      <c r="A2" s="2"/>
      <c r="B2" s="7" t="s">
        <v>170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10"/>
    </row>
    <row r="3" spans="1:30" ht="42" customHeight="1" x14ac:dyDescent="0.25">
      <c r="A3" s="11"/>
      <c r="B3" s="12" t="s">
        <v>148</v>
      </c>
      <c r="C3" s="13" t="s">
        <v>124</v>
      </c>
      <c r="D3" s="13" t="s">
        <v>125</v>
      </c>
      <c r="E3" s="13" t="s">
        <v>126</v>
      </c>
      <c r="F3" s="13" t="s">
        <v>127</v>
      </c>
      <c r="G3" s="13" t="s">
        <v>128</v>
      </c>
      <c r="H3" s="13" t="s">
        <v>129</v>
      </c>
      <c r="I3" s="13" t="s">
        <v>130</v>
      </c>
      <c r="J3" s="13" t="s">
        <v>131</v>
      </c>
      <c r="K3" s="13" t="s">
        <v>132</v>
      </c>
      <c r="L3" s="13" t="s">
        <v>133</v>
      </c>
      <c r="M3" s="13" t="s">
        <v>134</v>
      </c>
      <c r="N3" s="13" t="s">
        <v>135</v>
      </c>
      <c r="O3" s="13" t="s">
        <v>136</v>
      </c>
      <c r="P3" s="13" t="s">
        <v>137</v>
      </c>
      <c r="Q3" s="13" t="s">
        <v>138</v>
      </c>
      <c r="R3" s="13" t="s">
        <v>139</v>
      </c>
      <c r="S3" s="13" t="s">
        <v>140</v>
      </c>
      <c r="T3" s="13" t="s">
        <v>141</v>
      </c>
      <c r="U3" s="13" t="s">
        <v>142</v>
      </c>
      <c r="V3" s="13" t="s">
        <v>143</v>
      </c>
      <c r="W3" s="13" t="s">
        <v>144</v>
      </c>
      <c r="X3" s="13" t="s">
        <v>145</v>
      </c>
      <c r="Y3" s="13" t="s">
        <v>146</v>
      </c>
      <c r="Z3" s="13" t="s">
        <v>147</v>
      </c>
      <c r="AA3" s="14"/>
      <c r="AB3" s="97" t="s">
        <v>156</v>
      </c>
      <c r="AC3" s="98" t="s">
        <v>157</v>
      </c>
      <c r="AD3" s="99" t="s">
        <v>158</v>
      </c>
    </row>
    <row r="4" spans="1:30" x14ac:dyDescent="0.2">
      <c r="A4" s="11"/>
      <c r="B4" s="15" t="s">
        <v>154</v>
      </c>
      <c r="C4" s="16">
        <v>5</v>
      </c>
      <c r="D4" s="16">
        <v>5</v>
      </c>
      <c r="E4" s="16">
        <v>5</v>
      </c>
      <c r="F4" s="16">
        <v>5</v>
      </c>
      <c r="G4" s="16">
        <v>5</v>
      </c>
      <c r="H4" s="16">
        <v>5</v>
      </c>
      <c r="I4" s="16">
        <v>5</v>
      </c>
      <c r="J4" s="16">
        <v>5</v>
      </c>
      <c r="K4" s="16">
        <v>5</v>
      </c>
      <c r="L4" s="16">
        <v>5</v>
      </c>
      <c r="M4" s="16">
        <v>5</v>
      </c>
      <c r="N4" s="16">
        <v>5</v>
      </c>
      <c r="O4" s="16">
        <v>5</v>
      </c>
      <c r="P4" s="16">
        <v>5</v>
      </c>
      <c r="Q4" s="16">
        <v>5</v>
      </c>
      <c r="R4" s="16">
        <v>5</v>
      </c>
      <c r="S4" s="16">
        <v>5</v>
      </c>
      <c r="T4" s="16">
        <v>5</v>
      </c>
      <c r="U4" s="16">
        <v>5</v>
      </c>
      <c r="V4" s="16">
        <v>5</v>
      </c>
      <c r="W4" s="16">
        <v>5</v>
      </c>
      <c r="X4" s="16">
        <v>5</v>
      </c>
      <c r="Y4" s="16">
        <v>5</v>
      </c>
      <c r="Z4" s="16">
        <v>5</v>
      </c>
      <c r="AA4" s="17"/>
      <c r="AB4" s="97"/>
      <c r="AC4" s="97"/>
      <c r="AD4" s="97"/>
    </row>
    <row r="5" spans="1:30" ht="6" customHeight="1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18">
        <f t="shared" ref="A6:A45" ca="1" si="0">OFFSET(A6,-1,0,1,1)+1</f>
        <v>1</v>
      </c>
      <c r="B6" s="38" t="str">
        <f>IF(Info!B6="Atlar şu ýeri","",Info!B6)</f>
        <v>Abdullaýewa Dinara</v>
      </c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20"/>
      <c r="AB6" s="21" t="str">
        <f>IF(SUM(C6:Z6)=0,"",SUMPRODUCT(C6:Z6))</f>
        <v/>
      </c>
      <c r="AC6" s="22" t="str">
        <f>IF(SUM(C6:Z6)=0,"",AB6/(SUMIF(C6:Z6,"&lt;&gt;",$C$4:$Z$4)-SUMIF(C6:Z6,"=E",$C$4:$Z$4)))</f>
        <v/>
      </c>
      <c r="AD6" s="23" t="str">
        <f>IF(AC6="","","   "&amp;INDEX(Results!$W$6:$W$18,MATCH(AC6,Results!$V$6:$V$18,1)))</f>
        <v/>
      </c>
    </row>
    <row r="7" spans="1:30" x14ac:dyDescent="0.2">
      <c r="A7" s="18">
        <f t="shared" ca="1" si="0"/>
        <v>2</v>
      </c>
      <c r="B7" s="38" t="str">
        <f>IF(Info!B7="Atlar şu ýeri","",Info!B7)</f>
        <v>Arslanow Yhlas</v>
      </c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20"/>
      <c r="AB7" s="21" t="str">
        <f t="shared" ref="AB7:AB45" si="1">IF(SUM(C7:Z7)=0,"",SUMPRODUCT(C7:Z7))</f>
        <v/>
      </c>
      <c r="AC7" s="22" t="str">
        <f t="shared" ref="AC7:AC45" si="2">IF(SUM(C7:Z7)=0,"",AB7/(SUMIF(C7:Z7,"&lt;&gt;",$C$4:$Z$4)-SUMIF(C7:Z7,"=E",$C$4:$Z$4)))</f>
        <v/>
      </c>
      <c r="AD7" s="23" t="str">
        <f>IF(AC7="","","   "&amp;INDEX(Results!$W$6:$W$18,MATCH(AC7,Results!$V$6:$V$18,1)))</f>
        <v/>
      </c>
    </row>
    <row r="8" spans="1:30" x14ac:dyDescent="0.2">
      <c r="A8" s="18">
        <f t="shared" ca="1" si="0"/>
        <v>3</v>
      </c>
      <c r="B8" s="38" t="str">
        <f>IF(Info!B8="Atlar şu ýeri","",Info!B8)</f>
        <v>Aşyrowa Maýsa</v>
      </c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20"/>
      <c r="AB8" s="21" t="str">
        <f t="shared" si="1"/>
        <v/>
      </c>
      <c r="AC8" s="22" t="str">
        <f t="shared" si="2"/>
        <v/>
      </c>
      <c r="AD8" s="23" t="str">
        <f>IF(AC8="","","   "&amp;INDEX(Results!$W$6:$W$18,MATCH(AC8,Results!$V$6:$V$18,1)))</f>
        <v/>
      </c>
    </row>
    <row r="9" spans="1:30" x14ac:dyDescent="0.2">
      <c r="A9" s="18">
        <f t="shared" ca="1" si="0"/>
        <v>4</v>
      </c>
      <c r="B9" s="38" t="str">
        <f>IF(Info!B9="Atlar şu ýeri","",Info!B9)</f>
        <v>Atabaýewa Ogulaý</v>
      </c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20"/>
      <c r="AB9" s="21" t="str">
        <f t="shared" si="1"/>
        <v/>
      </c>
      <c r="AC9" s="22" t="str">
        <f t="shared" si="2"/>
        <v/>
      </c>
      <c r="AD9" s="23" t="str">
        <f>IF(AC9="","","   "&amp;INDEX(Results!$W$6:$W$18,MATCH(AC9,Results!$V$6:$V$18,1)))</f>
        <v/>
      </c>
    </row>
    <row r="10" spans="1:30" x14ac:dyDescent="0.2">
      <c r="A10" s="18">
        <f t="shared" ca="1" si="0"/>
        <v>5</v>
      </c>
      <c r="B10" s="38" t="str">
        <f>IF(Info!B10="Atlar şu ýeri","",Info!B10)</f>
        <v>Atanazarow Meýlis</v>
      </c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20"/>
      <c r="AB10" s="21" t="str">
        <f t="shared" si="1"/>
        <v/>
      </c>
      <c r="AC10" s="22" t="str">
        <f t="shared" si="2"/>
        <v/>
      </c>
      <c r="AD10" s="23" t="str">
        <f>IF(AC10="","","   "&amp;INDEX(Results!$W$6:$W$18,MATCH(AC10,Results!$V$6:$V$18,1)))</f>
        <v/>
      </c>
    </row>
    <row r="11" spans="1:30" x14ac:dyDescent="0.2">
      <c r="A11" s="18">
        <f t="shared" ca="1" si="0"/>
        <v>6</v>
      </c>
      <c r="B11" s="38" t="str">
        <f>IF(Info!B11="Atlar şu ýeri","",Info!B11)</f>
        <v>Babajanowa Aýlar</v>
      </c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20"/>
      <c r="AB11" s="21" t="str">
        <f t="shared" si="1"/>
        <v/>
      </c>
      <c r="AC11" s="22" t="str">
        <f t="shared" si="2"/>
        <v/>
      </c>
      <c r="AD11" s="23" t="str">
        <f>IF(AC11="","","   "&amp;INDEX(Results!$W$6:$W$18,MATCH(AC11,Results!$V$6:$V$18,1)))</f>
        <v/>
      </c>
    </row>
    <row r="12" spans="1:30" x14ac:dyDescent="0.2">
      <c r="A12" s="18">
        <f t="shared" ca="1" si="0"/>
        <v>7</v>
      </c>
      <c r="B12" s="38" t="str">
        <f>IF(Info!B12="Atlar şu ýeri","",Info!B12)</f>
        <v>Babajanowa Selbi</v>
      </c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20"/>
      <c r="AB12" s="21" t="str">
        <f t="shared" si="1"/>
        <v/>
      </c>
      <c r="AC12" s="22" t="str">
        <f t="shared" si="2"/>
        <v/>
      </c>
      <c r="AD12" s="23" t="str">
        <f>IF(AC12="","","   "&amp;INDEX(Results!$W$6:$W$18,MATCH(AC12,Results!$V$6:$V$18,1)))</f>
        <v/>
      </c>
    </row>
    <row r="13" spans="1:30" x14ac:dyDescent="0.2">
      <c r="A13" s="18">
        <f t="shared" ca="1" si="0"/>
        <v>8</v>
      </c>
      <c r="B13" s="38" t="str">
        <f>IF(Info!B13="Atlar şu ýeri","",Info!B13)</f>
        <v>Ataýew Nurgeldi</v>
      </c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20"/>
      <c r="AB13" s="21" t="str">
        <f t="shared" si="1"/>
        <v/>
      </c>
      <c r="AC13" s="22" t="str">
        <f t="shared" si="2"/>
        <v/>
      </c>
      <c r="AD13" s="23" t="str">
        <f>IF(AC13="","","   "&amp;INDEX(Results!$W$6:$W$18,MATCH(AC13,Results!$V$6:$V$18,1)))</f>
        <v/>
      </c>
    </row>
    <row r="14" spans="1:30" x14ac:dyDescent="0.2">
      <c r="A14" s="18">
        <f t="shared" ca="1" si="0"/>
        <v>9</v>
      </c>
      <c r="B14" s="38" t="str">
        <f>IF(Info!B14="Atlar şu ýeri","",Info!B14)</f>
        <v>Batyrow Arafat</v>
      </c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20"/>
      <c r="AB14" s="21" t="str">
        <f t="shared" si="1"/>
        <v/>
      </c>
      <c r="AC14" s="22" t="str">
        <f t="shared" si="2"/>
        <v/>
      </c>
      <c r="AD14" s="23" t="str">
        <f>IF(AC14="","","   "&amp;INDEX(Results!$W$6:$W$18,MATCH(AC14,Results!$V$6:$V$18,1)))</f>
        <v/>
      </c>
    </row>
    <row r="15" spans="1:30" x14ac:dyDescent="0.2">
      <c r="A15" s="18">
        <f t="shared" ca="1" si="0"/>
        <v>10</v>
      </c>
      <c r="B15" s="38" t="str">
        <f>IF(Info!B15="Atlar şu ýeri","",Info!B15)</f>
        <v>Çaryýew Kemal</v>
      </c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20"/>
      <c r="AB15" s="21" t="str">
        <f t="shared" si="1"/>
        <v/>
      </c>
      <c r="AC15" s="22" t="str">
        <f t="shared" si="2"/>
        <v/>
      </c>
      <c r="AD15" s="23" t="str">
        <f>IF(AC15="","","   "&amp;INDEX(Results!$W$6:$W$18,MATCH(AC15,Results!$V$6:$V$18,1)))</f>
        <v/>
      </c>
    </row>
    <row r="16" spans="1:30" x14ac:dyDescent="0.2">
      <c r="A16" s="18">
        <f t="shared" ca="1" si="0"/>
        <v>11</v>
      </c>
      <c r="B16" s="38" t="str">
        <f>IF(Info!B16="Atlar şu ýeri","",Info!B16)</f>
        <v>Gurbanow Mekanmyrat</v>
      </c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20"/>
      <c r="AB16" s="21" t="str">
        <f t="shared" si="1"/>
        <v/>
      </c>
      <c r="AC16" s="22" t="str">
        <f t="shared" si="2"/>
        <v/>
      </c>
      <c r="AD16" s="23" t="str">
        <f>IF(AC16="","","   "&amp;INDEX(Results!$W$6:$W$18,MATCH(AC16,Results!$V$6:$V$18,1)))</f>
        <v/>
      </c>
    </row>
    <row r="17" spans="1:30" x14ac:dyDescent="0.2">
      <c r="A17" s="18">
        <f t="shared" ca="1" si="0"/>
        <v>12</v>
      </c>
      <c r="B17" s="38" t="str">
        <f>IF(Info!B17="Atlar şu ýeri","",Info!B17)</f>
        <v>Hojamuhammedow Guwanç</v>
      </c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20"/>
      <c r="AB17" s="21" t="str">
        <f t="shared" si="1"/>
        <v/>
      </c>
      <c r="AC17" s="22" t="str">
        <f t="shared" si="2"/>
        <v/>
      </c>
      <c r="AD17" s="23" t="str">
        <f>IF(AC17="","","   "&amp;INDEX(Results!$W$6:$W$18,MATCH(AC17,Results!$V$6:$V$18,1)))</f>
        <v/>
      </c>
    </row>
    <row r="18" spans="1:30" x14ac:dyDescent="0.2">
      <c r="A18" s="18">
        <f t="shared" ca="1" si="0"/>
        <v>13</v>
      </c>
      <c r="B18" s="38" t="str">
        <f>IF(Info!B18="Atlar şu ýeri","",Info!B18)</f>
        <v xml:space="preserve">Hojamämmedow  </v>
      </c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20"/>
      <c r="AB18" s="21" t="str">
        <f t="shared" si="1"/>
        <v/>
      </c>
      <c r="AC18" s="22" t="str">
        <f t="shared" si="2"/>
        <v/>
      </c>
      <c r="AD18" s="23" t="str">
        <f>IF(AC18="","","   "&amp;INDEX(Results!$W$6:$W$18,MATCH(AC18,Results!$V$6:$V$18,1)))</f>
        <v/>
      </c>
    </row>
    <row r="19" spans="1:30" x14ac:dyDescent="0.2">
      <c r="A19" s="18">
        <f t="shared" ca="1" si="0"/>
        <v>14</v>
      </c>
      <c r="B19" s="38" t="str">
        <f>IF(Info!B19="Atlar şu ýeri","",Info!B19)</f>
        <v>Hanowa Gülälek</v>
      </c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20"/>
      <c r="AB19" s="21" t="str">
        <f t="shared" si="1"/>
        <v/>
      </c>
      <c r="AC19" s="22" t="str">
        <f t="shared" si="2"/>
        <v/>
      </c>
      <c r="AD19" s="23" t="str">
        <f>IF(AC19="","","   "&amp;INDEX(Results!$W$6:$W$18,MATCH(AC19,Results!$V$6:$V$18,1)))</f>
        <v/>
      </c>
    </row>
    <row r="20" spans="1:30" x14ac:dyDescent="0.2">
      <c r="A20" s="18">
        <f t="shared" ca="1" si="0"/>
        <v>15</v>
      </c>
      <c r="B20" s="38" t="str">
        <f>IF(Info!B20="Atlar şu ýeri","",Info!B20)</f>
        <v>Husainow Serdar</v>
      </c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20"/>
      <c r="AB20" s="21" t="str">
        <f t="shared" si="1"/>
        <v/>
      </c>
      <c r="AC20" s="22" t="str">
        <f t="shared" si="2"/>
        <v/>
      </c>
      <c r="AD20" s="23" t="str">
        <f>IF(AC20="","","   "&amp;INDEX(Results!$W$6:$W$18,MATCH(AC20,Results!$V$6:$V$18,1)))</f>
        <v/>
      </c>
    </row>
    <row r="21" spans="1:30" x14ac:dyDescent="0.2">
      <c r="A21" s="18">
        <f t="shared" ca="1" si="0"/>
        <v>16</v>
      </c>
      <c r="B21" s="38" t="str">
        <f>IF(Info!B21="Atlar şu ýeri","",Info!B21)</f>
        <v>Orunowa Täçbibi</v>
      </c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20"/>
      <c r="AB21" s="21" t="str">
        <f t="shared" si="1"/>
        <v/>
      </c>
      <c r="AC21" s="22" t="str">
        <f t="shared" si="2"/>
        <v/>
      </c>
      <c r="AD21" s="23" t="str">
        <f>IF(AC21="","","   "&amp;INDEX(Results!$W$6:$W$18,MATCH(AC21,Results!$V$6:$V$18,1)))</f>
        <v/>
      </c>
    </row>
    <row r="22" spans="1:30" x14ac:dyDescent="0.2">
      <c r="A22" s="18">
        <f t="shared" ca="1" si="0"/>
        <v>17</v>
      </c>
      <c r="B22" s="38" t="str">
        <f>IF(Info!B22="Atlar şu ýeri","",Info!B22)</f>
        <v>Ilýasow Älem</v>
      </c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20"/>
      <c r="AB22" s="21" t="str">
        <f t="shared" si="1"/>
        <v/>
      </c>
      <c r="AC22" s="22" t="str">
        <f t="shared" si="2"/>
        <v/>
      </c>
      <c r="AD22" s="23" t="str">
        <f>IF(AC22="","","   "&amp;INDEX(Results!$W$6:$W$18,MATCH(AC22,Results!$V$6:$V$18,1)))</f>
        <v/>
      </c>
    </row>
    <row r="23" spans="1:30" x14ac:dyDescent="0.2">
      <c r="A23" s="18">
        <f t="shared" ca="1" si="0"/>
        <v>18</v>
      </c>
      <c r="B23" s="38" t="str">
        <f>IF(Info!B23="Atlar şu ýeri","",Info!B23)</f>
        <v>Karabaýew Begli</v>
      </c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20"/>
      <c r="AB23" s="21" t="str">
        <f t="shared" si="1"/>
        <v/>
      </c>
      <c r="AC23" s="22" t="str">
        <f t="shared" si="2"/>
        <v/>
      </c>
      <c r="AD23" s="23" t="str">
        <f>IF(AC23="","","   "&amp;INDEX(Results!$W$6:$W$18,MATCH(AC23,Results!$V$6:$V$18,1)))</f>
        <v/>
      </c>
    </row>
    <row r="24" spans="1:30" x14ac:dyDescent="0.2">
      <c r="A24" s="18">
        <f t="shared" ca="1" si="0"/>
        <v>19</v>
      </c>
      <c r="B24" s="38" t="str">
        <f>IF(Info!B24="Atlar şu ýeri","",Info!B24)</f>
        <v>Kurbanow Wekil</v>
      </c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20"/>
      <c r="AB24" s="21" t="str">
        <f t="shared" si="1"/>
        <v/>
      </c>
      <c r="AC24" s="22" t="str">
        <f t="shared" si="2"/>
        <v/>
      </c>
      <c r="AD24" s="23" t="str">
        <f>IF(AC24="","","   "&amp;INDEX(Results!$W$6:$W$18,MATCH(AC24,Results!$V$6:$V$18,1)))</f>
        <v/>
      </c>
    </row>
    <row r="25" spans="1:30" x14ac:dyDescent="0.2">
      <c r="A25" s="18">
        <f t="shared" ca="1" si="0"/>
        <v>20</v>
      </c>
      <c r="B25" s="38" t="str">
        <f>IF(Info!B25="Atlar şu ýeri","",Info!B25)</f>
        <v>Madraimow Seidjan</v>
      </c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20"/>
      <c r="AB25" s="21" t="str">
        <f t="shared" si="1"/>
        <v/>
      </c>
      <c r="AC25" s="22" t="str">
        <f t="shared" si="2"/>
        <v/>
      </c>
      <c r="AD25" s="23" t="str">
        <f>IF(AC25="","","   "&amp;INDEX(Results!$W$6:$W$18,MATCH(AC25,Results!$V$6:$V$18,1)))</f>
        <v/>
      </c>
    </row>
    <row r="26" spans="1:30" x14ac:dyDescent="0.2">
      <c r="A26" s="18">
        <f t="shared" ca="1" si="0"/>
        <v>21</v>
      </c>
      <c r="B26" s="38" t="str">
        <f>IF(Info!B26="Atlar şu ýeri","",Info!B26)</f>
        <v>Matmuradowa Gulnur</v>
      </c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20"/>
      <c r="AB26" s="21" t="str">
        <f t="shared" si="1"/>
        <v/>
      </c>
      <c r="AC26" s="22" t="str">
        <f t="shared" si="2"/>
        <v/>
      </c>
      <c r="AD26" s="23" t="str">
        <f>IF(AC26="","","   "&amp;INDEX(Results!$W$6:$W$18,MATCH(AC26,Results!$V$6:$V$18,1)))</f>
        <v/>
      </c>
    </row>
    <row r="27" spans="1:30" x14ac:dyDescent="0.2">
      <c r="A27" s="18">
        <f t="shared" ca="1" si="0"/>
        <v>22</v>
      </c>
      <c r="B27" s="38" t="str">
        <f>IF(Info!B27="Atlar şu ýeri","",Info!B27)</f>
        <v>Myradowa Aýjahan</v>
      </c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20"/>
      <c r="AB27" s="21" t="str">
        <f t="shared" si="1"/>
        <v/>
      </c>
      <c r="AC27" s="22" t="str">
        <f t="shared" si="2"/>
        <v/>
      </c>
      <c r="AD27" s="23" t="str">
        <f>IF(AC27="","","   "&amp;INDEX(Results!$W$6:$W$18,MATCH(AC27,Results!$V$6:$V$18,1)))</f>
        <v/>
      </c>
    </row>
    <row r="28" spans="1:30" x14ac:dyDescent="0.2">
      <c r="A28" s="18">
        <f t="shared" ca="1" si="0"/>
        <v>23</v>
      </c>
      <c r="B28" s="38" t="str">
        <f>IF(Info!B28="Atlar şu ýeri","",Info!B28)</f>
        <v>Osmanowa Ýyldyz</v>
      </c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20"/>
      <c r="AB28" s="21" t="str">
        <f t="shared" si="1"/>
        <v/>
      </c>
      <c r="AC28" s="22" t="str">
        <f t="shared" si="2"/>
        <v/>
      </c>
      <c r="AD28" s="23" t="str">
        <f>IF(AC28="","","   "&amp;INDEX(Results!$W$6:$W$18,MATCH(AC28,Results!$V$6:$V$18,1)))</f>
        <v/>
      </c>
    </row>
    <row r="29" spans="1:30" x14ac:dyDescent="0.2">
      <c r="A29" s="18">
        <f t="shared" ca="1" si="0"/>
        <v>24</v>
      </c>
      <c r="B29" s="38" t="str">
        <f>IF(Info!B29="Atlar şu ýeri","",Info!B29)</f>
        <v>Orazowa Aýnur</v>
      </c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20"/>
      <c r="AB29" s="21" t="str">
        <f t="shared" si="1"/>
        <v/>
      </c>
      <c r="AC29" s="22" t="str">
        <f t="shared" si="2"/>
        <v/>
      </c>
      <c r="AD29" s="23" t="str">
        <f>IF(AC29="","","   "&amp;INDEX(Results!$W$6:$W$18,MATCH(AC29,Results!$V$6:$V$18,1)))</f>
        <v/>
      </c>
    </row>
    <row r="30" spans="1:30" x14ac:dyDescent="0.2">
      <c r="A30" s="18">
        <f t="shared" ca="1" si="0"/>
        <v>25</v>
      </c>
      <c r="B30" s="38" t="str">
        <f>IF(Info!B30="Atlar şu ýeri","",Info!B30)</f>
        <v>Orunowa Aýjemal</v>
      </c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20"/>
      <c r="AB30" s="21" t="str">
        <f t="shared" si="1"/>
        <v/>
      </c>
      <c r="AC30" s="22" t="str">
        <f t="shared" si="2"/>
        <v/>
      </c>
      <c r="AD30" s="23" t="str">
        <f>IF(AC30="","","   "&amp;INDEX(Results!$W$6:$W$18,MATCH(AC30,Results!$V$6:$V$18,1)))</f>
        <v/>
      </c>
    </row>
    <row r="31" spans="1:30" x14ac:dyDescent="0.2">
      <c r="A31" s="18">
        <f t="shared" ca="1" si="0"/>
        <v>26</v>
      </c>
      <c r="B31" s="38" t="str">
        <f>IF(Info!B31="Atlar şu ýeri","",Info!B31)</f>
        <v>Öwezow Döwlet</v>
      </c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20"/>
      <c r="AB31" s="21" t="str">
        <f t="shared" si="1"/>
        <v/>
      </c>
      <c r="AC31" s="22" t="str">
        <f t="shared" si="2"/>
        <v/>
      </c>
      <c r="AD31" s="23" t="str">
        <f>IF(AC31="","","   "&amp;INDEX(Results!$W$6:$W$18,MATCH(AC31,Results!$V$6:$V$18,1)))</f>
        <v/>
      </c>
    </row>
    <row r="32" spans="1:30" x14ac:dyDescent="0.2">
      <c r="A32" s="18">
        <f t="shared" ca="1" si="0"/>
        <v>27</v>
      </c>
      <c r="B32" s="38" t="str">
        <f>IF(Info!B32="Atlar şu ýeri","",Info!B32)</f>
        <v>Piriýew Aýhan</v>
      </c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20"/>
      <c r="AB32" s="21" t="str">
        <f t="shared" si="1"/>
        <v/>
      </c>
      <c r="AC32" s="22" t="str">
        <f t="shared" si="2"/>
        <v/>
      </c>
      <c r="AD32" s="23" t="str">
        <f>IF(AC32="","","   "&amp;INDEX(Results!$W$6:$W$18,MATCH(AC32,Results!$V$6:$V$18,1)))</f>
        <v/>
      </c>
    </row>
    <row r="33" spans="1:32" x14ac:dyDescent="0.2">
      <c r="A33" s="18">
        <f t="shared" ca="1" si="0"/>
        <v>28</v>
      </c>
      <c r="B33" s="38" t="str">
        <f>IF(Info!B33="Atlar şu ýeri","",Info!B33)</f>
        <v>Taganow Sanjar</v>
      </c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20"/>
      <c r="AB33" s="21" t="str">
        <f t="shared" si="1"/>
        <v/>
      </c>
      <c r="AC33" s="22" t="str">
        <f t="shared" si="2"/>
        <v/>
      </c>
      <c r="AD33" s="23" t="str">
        <f>IF(AC33="","","   "&amp;INDEX(Results!$W$6:$W$18,MATCH(AC33,Results!$V$6:$V$18,1)))</f>
        <v/>
      </c>
    </row>
    <row r="34" spans="1:32" x14ac:dyDescent="0.2">
      <c r="A34" s="18">
        <f t="shared" ca="1" si="0"/>
        <v>29</v>
      </c>
      <c r="B34" s="38" t="str">
        <f>IF(Info!B34="Atlar şu ýeri","",Info!B34)</f>
        <v>Weliýew Öwez</v>
      </c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20"/>
      <c r="AB34" s="21" t="str">
        <f t="shared" si="1"/>
        <v/>
      </c>
      <c r="AC34" s="22" t="str">
        <f t="shared" si="2"/>
        <v/>
      </c>
      <c r="AD34" s="23" t="str">
        <f>IF(AC34="","","   "&amp;INDEX(Results!$W$6:$W$18,MATCH(AC34,Results!$V$6:$V$18,1)))</f>
        <v/>
      </c>
    </row>
    <row r="35" spans="1:32" x14ac:dyDescent="0.2">
      <c r="A35" s="18">
        <f t="shared" ca="1" si="0"/>
        <v>30</v>
      </c>
      <c r="B35" s="38" t="str">
        <f>IF(Info!B35="Atlar şu ýeri","",Info!B35)</f>
        <v>Ýagşybaýew Muhammet</v>
      </c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20"/>
      <c r="AB35" s="21" t="str">
        <f t="shared" si="1"/>
        <v/>
      </c>
      <c r="AC35" s="22" t="str">
        <f t="shared" si="2"/>
        <v/>
      </c>
      <c r="AD35" s="23" t="str">
        <f>IF(AC35="","","   "&amp;INDEX(Results!$W$6:$W$18,MATCH(AC35,Results!$V$6:$V$18,1)))</f>
        <v/>
      </c>
    </row>
    <row r="36" spans="1:32" x14ac:dyDescent="0.2">
      <c r="A36" s="18">
        <f t="shared" ca="1" si="0"/>
        <v>31</v>
      </c>
      <c r="B36" s="38" t="str">
        <f>IF(Info!B36="Atlar şu ýeri","",Info!B36)</f>
        <v>Ýazberdiýewa Söýli</v>
      </c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20"/>
      <c r="AB36" s="21" t="str">
        <f t="shared" si="1"/>
        <v/>
      </c>
      <c r="AC36" s="22" t="str">
        <f t="shared" si="2"/>
        <v/>
      </c>
      <c r="AD36" s="23" t="str">
        <f>IF(AC36="","","   "&amp;INDEX(Results!$W$6:$W$18,MATCH(AC36,Results!$V$6:$V$18,1)))</f>
        <v/>
      </c>
    </row>
    <row r="37" spans="1:32" x14ac:dyDescent="0.2">
      <c r="A37" s="18">
        <f t="shared" ca="1" si="0"/>
        <v>32</v>
      </c>
      <c r="B37" s="38" t="str">
        <f>IF(Info!B37="Atlar şu ýeri","",Info!B37)</f>
        <v>Ýazyýewa Meňli</v>
      </c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20"/>
      <c r="AB37" s="21" t="str">
        <f t="shared" si="1"/>
        <v/>
      </c>
      <c r="AC37" s="22" t="str">
        <f t="shared" si="2"/>
        <v/>
      </c>
      <c r="AD37" s="23" t="str">
        <f>IF(AC37="","","   "&amp;INDEX(Results!$W$6:$W$18,MATCH(AC37,Results!$V$6:$V$18,1)))</f>
        <v/>
      </c>
    </row>
    <row r="38" spans="1:32" x14ac:dyDescent="0.2">
      <c r="A38" s="18">
        <f t="shared" ca="1" si="0"/>
        <v>33</v>
      </c>
      <c r="B38" s="38" t="str">
        <f>IF(Info!B38="Atlar şu ýeri","",Info!B38)</f>
        <v>Ýunusow Ýunus</v>
      </c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20"/>
      <c r="AB38" s="21" t="str">
        <f t="shared" si="1"/>
        <v/>
      </c>
      <c r="AC38" s="22" t="str">
        <f t="shared" si="2"/>
        <v/>
      </c>
      <c r="AD38" s="23" t="str">
        <f>IF(AC38="","","   "&amp;INDEX(Results!$W$6:$W$18,MATCH(AC38,Results!$V$6:$V$18,1)))</f>
        <v/>
      </c>
    </row>
    <row r="39" spans="1:32" x14ac:dyDescent="0.2">
      <c r="A39" s="18">
        <f t="shared" ca="1" si="0"/>
        <v>34</v>
      </c>
      <c r="B39" s="38" t="str">
        <f>IF(Info!B39="Atlar şu ýeri","",Info!B39)</f>
        <v>Ýusupowa  Jahan</v>
      </c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20"/>
      <c r="AB39" s="21" t="str">
        <f t="shared" si="1"/>
        <v/>
      </c>
      <c r="AC39" s="22" t="str">
        <f t="shared" si="2"/>
        <v/>
      </c>
      <c r="AD39" s="23" t="str">
        <f>IF(AC39="","","   "&amp;INDEX(Results!$W$6:$W$18,MATCH(AC39,Results!$V$6:$V$18,1)))</f>
        <v/>
      </c>
    </row>
    <row r="40" spans="1:32" x14ac:dyDescent="0.2">
      <c r="A40" s="18">
        <f t="shared" ca="1" si="0"/>
        <v>35</v>
      </c>
      <c r="B40" s="38" t="str">
        <f>IF(Info!B40="Atlar şu ýeri","",Info!B40)</f>
        <v/>
      </c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20"/>
      <c r="AB40" s="21" t="str">
        <f t="shared" si="1"/>
        <v/>
      </c>
      <c r="AC40" s="22" t="str">
        <f t="shared" si="2"/>
        <v/>
      </c>
      <c r="AD40" s="23" t="str">
        <f>IF(AC40="","","   "&amp;INDEX(Results!$W$6:$W$18,MATCH(AC40,Results!$V$6:$V$18,1)))</f>
        <v/>
      </c>
    </row>
    <row r="41" spans="1:32" x14ac:dyDescent="0.2">
      <c r="A41" s="18">
        <f t="shared" ca="1" si="0"/>
        <v>36</v>
      </c>
      <c r="B41" s="38" t="str">
        <f>IF(Info!B41="Atlar şu ýeri","",Info!B41)</f>
        <v/>
      </c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20"/>
      <c r="AB41" s="21" t="str">
        <f t="shared" si="1"/>
        <v/>
      </c>
      <c r="AC41" s="22" t="str">
        <f t="shared" si="2"/>
        <v/>
      </c>
      <c r="AD41" s="23" t="str">
        <f>IF(AC41="","","   "&amp;INDEX(Results!$W$6:$W$18,MATCH(AC41,Results!$V$6:$V$18,1)))</f>
        <v/>
      </c>
    </row>
    <row r="42" spans="1:32" x14ac:dyDescent="0.2">
      <c r="A42" s="18">
        <f t="shared" ca="1" si="0"/>
        <v>37</v>
      </c>
      <c r="B42" s="38" t="str">
        <f>IF(Info!B42="Atlar şu ýeri","",Info!B42)</f>
        <v/>
      </c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20"/>
      <c r="AB42" s="21" t="str">
        <f t="shared" si="1"/>
        <v/>
      </c>
      <c r="AC42" s="22" t="str">
        <f t="shared" si="2"/>
        <v/>
      </c>
      <c r="AD42" s="23" t="str">
        <f>IF(AC42="","","   "&amp;INDEX(Results!$W$6:$W$18,MATCH(AC42,Results!$V$6:$V$18,1)))</f>
        <v/>
      </c>
    </row>
    <row r="43" spans="1:32" x14ac:dyDescent="0.2">
      <c r="A43" s="18">
        <f t="shared" ca="1" si="0"/>
        <v>38</v>
      </c>
      <c r="B43" s="38" t="str">
        <f>IF(Info!B43="Atlar şu ýeri","",Info!B43)</f>
        <v/>
      </c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20"/>
      <c r="AB43" s="21" t="str">
        <f t="shared" si="1"/>
        <v/>
      </c>
      <c r="AC43" s="22" t="str">
        <f t="shared" si="2"/>
        <v/>
      </c>
      <c r="AD43" s="23" t="str">
        <f>IF(AC43="","","   "&amp;INDEX(Results!$W$6:$W$18,MATCH(AC43,Results!$V$6:$V$18,1)))</f>
        <v/>
      </c>
    </row>
    <row r="44" spans="1:32" x14ac:dyDescent="0.2">
      <c r="A44" s="18">
        <f t="shared" ca="1" si="0"/>
        <v>39</v>
      </c>
      <c r="B44" s="38" t="str">
        <f>IF(Info!B44="Atlar şu ýeri","",Info!B44)</f>
        <v/>
      </c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20"/>
      <c r="AB44" s="21" t="str">
        <f t="shared" si="1"/>
        <v/>
      </c>
      <c r="AC44" s="22" t="str">
        <f t="shared" si="2"/>
        <v/>
      </c>
      <c r="AD44" s="23" t="str">
        <f>IF(AC44="","","   "&amp;INDEX(Results!$W$6:$W$18,MATCH(AC44,Results!$V$6:$V$18,1)))</f>
        <v/>
      </c>
    </row>
    <row r="45" spans="1:32" x14ac:dyDescent="0.2">
      <c r="A45" s="18">
        <f t="shared" ca="1" si="0"/>
        <v>40</v>
      </c>
      <c r="B45" s="38" t="str">
        <f>IF(Info!B45="Atlar şu ýeri","",Info!B45)</f>
        <v/>
      </c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20"/>
      <c r="AB45" s="21" t="str">
        <f t="shared" si="1"/>
        <v/>
      </c>
      <c r="AC45" s="22" t="str">
        <f t="shared" si="2"/>
        <v/>
      </c>
      <c r="AD45" s="23" t="str">
        <f>IF(AC45="","","   "&amp;INDEX(Results!$W$6:$W$18,MATCH(AC45,Results!$V$6:$V$18,1)))</f>
        <v/>
      </c>
    </row>
    <row r="46" spans="1:32" x14ac:dyDescent="0.2">
      <c r="A46" s="24" t="s">
        <v>0</v>
      </c>
      <c r="B46" s="25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96">
        <v>1</v>
      </c>
      <c r="AA46" s="27"/>
      <c r="AB46" s="28"/>
      <c r="AC46" s="29"/>
      <c r="AD46" s="30"/>
    </row>
    <row r="47" spans="1:32" x14ac:dyDescent="0.2">
      <c r="A47" s="2"/>
      <c r="B47" s="31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AA47" s="27"/>
      <c r="AB47" s="33" t="s">
        <v>155</v>
      </c>
      <c r="AC47" s="34" t="e">
        <f>AVERAGE(AC6:AC46)</f>
        <v>#DIV/0!</v>
      </c>
      <c r="AD47" s="35" t="e">
        <f>IF(AC47="","",INDEX(Results!$W$6:$W$18,MATCH(AC47,Results!$V$6:$V$18,1)))</f>
        <v>#DIV/0!</v>
      </c>
      <c r="AF47" s="36"/>
    </row>
    <row r="48" spans="1:32" x14ac:dyDescent="0.2">
      <c r="A48" s="2"/>
      <c r="B48" s="31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27"/>
      <c r="AB48" s="90"/>
      <c r="AC48" s="91"/>
      <c r="AD48" s="92"/>
      <c r="AF48" s="36"/>
    </row>
    <row r="49" spans="1:30" x14ac:dyDescent="0.2">
      <c r="A49" s="2"/>
      <c r="B49" s="37"/>
      <c r="C49" s="32"/>
      <c r="D49" s="32"/>
      <c r="E49" s="32"/>
      <c r="F49" s="32"/>
      <c r="G49" s="32"/>
      <c r="H49" s="32"/>
      <c r="I49" s="93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27"/>
      <c r="AB49" s="2"/>
      <c r="AC49" s="2"/>
      <c r="AD49" s="2"/>
    </row>
  </sheetData>
  <mergeCells count="4">
    <mergeCell ref="AB3:AB4"/>
    <mergeCell ref="AC3:AC4"/>
    <mergeCell ref="AD3:AD4"/>
    <mergeCell ref="C1:T1"/>
  </mergeCell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/>
  <headerFooter alignWithMargins="0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defaultSize="0" autoLine="0" r:id="rId4">
            <anchor moveWithCells="1">
              <from>
                <xdr:col>30</xdr:col>
                <xdr:colOff>180975</xdr:colOff>
                <xdr:row>1</xdr:row>
                <xdr:rowOff>47625</xdr:rowOff>
              </from>
              <to>
                <xdr:col>31</xdr:col>
                <xdr:colOff>981075</xdr:colOff>
                <xdr:row>2</xdr:row>
                <xdr:rowOff>523875</xdr:rowOff>
              </to>
            </anchor>
          </controlPr>
        </control>
      </mc:Choice>
      <mc:Fallback>
        <control shapeId="22529" r:id="rId3" name="CommandButton1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F49"/>
  <sheetViews>
    <sheetView workbookViewId="0">
      <selection sqref="A1:CZ50"/>
    </sheetView>
  </sheetViews>
  <sheetFormatPr defaultRowHeight="12.75" x14ac:dyDescent="0.2"/>
  <cols>
    <col min="1" max="1" width="3.7109375" style="1" customWidth="1"/>
    <col min="2" max="2" width="38" style="1" bestFit="1" customWidth="1"/>
    <col min="3" max="16" width="7.140625" style="1" customWidth="1"/>
    <col min="17" max="17" width="1.42578125" style="1" customWidth="1"/>
    <col min="18" max="19" width="7.5703125" style="1" customWidth="1"/>
    <col min="20" max="20" width="6.85546875" style="1" customWidth="1"/>
    <col min="21" max="21" width="5.28515625" style="1" customWidth="1"/>
    <col min="22" max="22" width="16.7109375" style="1" customWidth="1"/>
    <col min="23" max="16384" width="9.140625" style="1"/>
  </cols>
  <sheetData>
    <row r="1" spans="1:30" ht="19.5" x14ac:dyDescent="0.3">
      <c r="A1" s="2"/>
      <c r="B1" s="3" t="s">
        <v>153</v>
      </c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87"/>
      <c r="V1" s="87"/>
      <c r="W1" s="4"/>
      <c r="X1" s="4"/>
      <c r="Y1" s="4"/>
      <c r="Z1" s="4"/>
      <c r="AA1" s="4"/>
      <c r="AB1" s="4"/>
      <c r="AC1" s="6"/>
      <c r="AD1" s="6"/>
    </row>
    <row r="2" spans="1:30" ht="15" x14ac:dyDescent="0.25">
      <c r="A2" s="2"/>
      <c r="B2" s="7" t="s">
        <v>170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10"/>
    </row>
    <row r="3" spans="1:30" ht="42" customHeight="1" x14ac:dyDescent="0.25">
      <c r="A3" s="11"/>
      <c r="B3" s="12" t="s">
        <v>148</v>
      </c>
      <c r="C3" s="13" t="s">
        <v>124</v>
      </c>
      <c r="D3" s="13" t="s">
        <v>125</v>
      </c>
      <c r="E3" s="13" t="s">
        <v>126</v>
      </c>
      <c r="F3" s="13" t="s">
        <v>127</v>
      </c>
      <c r="G3" s="13" t="s">
        <v>128</v>
      </c>
      <c r="H3" s="13" t="s">
        <v>129</v>
      </c>
      <c r="I3" s="13" t="s">
        <v>130</v>
      </c>
      <c r="J3" s="13" t="s">
        <v>131</v>
      </c>
      <c r="K3" s="13" t="s">
        <v>132</v>
      </c>
      <c r="L3" s="13" t="s">
        <v>133</v>
      </c>
      <c r="M3" s="13" t="s">
        <v>134</v>
      </c>
      <c r="N3" s="13" t="s">
        <v>135</v>
      </c>
      <c r="O3" s="13" t="s">
        <v>136</v>
      </c>
      <c r="P3" s="13" t="s">
        <v>137</v>
      </c>
      <c r="Q3" s="13" t="s">
        <v>138</v>
      </c>
      <c r="R3" s="13" t="s">
        <v>139</v>
      </c>
      <c r="S3" s="13" t="s">
        <v>140</v>
      </c>
      <c r="T3" s="13" t="s">
        <v>141</v>
      </c>
      <c r="U3" s="13" t="s">
        <v>142</v>
      </c>
      <c r="V3" s="13" t="s">
        <v>143</v>
      </c>
      <c r="W3" s="13" t="s">
        <v>144</v>
      </c>
      <c r="X3" s="13" t="s">
        <v>145</v>
      </c>
      <c r="Y3" s="13" t="s">
        <v>146</v>
      </c>
      <c r="Z3" s="13" t="s">
        <v>147</v>
      </c>
      <c r="AA3" s="14"/>
      <c r="AB3" s="97" t="s">
        <v>156</v>
      </c>
      <c r="AC3" s="98" t="s">
        <v>157</v>
      </c>
      <c r="AD3" s="99" t="s">
        <v>158</v>
      </c>
    </row>
    <row r="4" spans="1:30" x14ac:dyDescent="0.2">
      <c r="A4" s="11"/>
      <c r="B4" s="15" t="s">
        <v>154</v>
      </c>
      <c r="C4" s="16">
        <v>5</v>
      </c>
      <c r="D4" s="16">
        <v>5</v>
      </c>
      <c r="E4" s="16">
        <v>5</v>
      </c>
      <c r="F4" s="16">
        <v>5</v>
      </c>
      <c r="G4" s="16">
        <v>5</v>
      </c>
      <c r="H4" s="16">
        <v>5</v>
      </c>
      <c r="I4" s="16">
        <v>5</v>
      </c>
      <c r="J4" s="16">
        <v>5</v>
      </c>
      <c r="K4" s="16">
        <v>5</v>
      </c>
      <c r="L4" s="16">
        <v>5</v>
      </c>
      <c r="M4" s="16">
        <v>5</v>
      </c>
      <c r="N4" s="16">
        <v>5</v>
      </c>
      <c r="O4" s="16">
        <v>5</v>
      </c>
      <c r="P4" s="16">
        <v>5</v>
      </c>
      <c r="Q4" s="16">
        <v>5</v>
      </c>
      <c r="R4" s="16">
        <v>5</v>
      </c>
      <c r="S4" s="16">
        <v>5</v>
      </c>
      <c r="T4" s="16">
        <v>5</v>
      </c>
      <c r="U4" s="16">
        <v>5</v>
      </c>
      <c r="V4" s="16">
        <v>5</v>
      </c>
      <c r="W4" s="16">
        <v>5</v>
      </c>
      <c r="X4" s="16">
        <v>5</v>
      </c>
      <c r="Y4" s="16">
        <v>5</v>
      </c>
      <c r="Z4" s="16">
        <v>5</v>
      </c>
      <c r="AA4" s="17"/>
      <c r="AB4" s="97"/>
      <c r="AC4" s="97"/>
      <c r="AD4" s="97"/>
    </row>
    <row r="5" spans="1:30" ht="6" customHeight="1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18">
        <f t="shared" ref="A6:A45" ca="1" si="0">OFFSET(A6,-1,0,1,1)+1</f>
        <v>1</v>
      </c>
      <c r="B6" s="38" t="str">
        <f>IF(Info!B6="Atlar şu ýeri","",Info!B6)</f>
        <v>Abdullaýewa Dinara</v>
      </c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20"/>
      <c r="AB6" s="21" t="str">
        <f>IF(SUM(C6:Z6)=0,"",SUMPRODUCT(C6:Z6))</f>
        <v/>
      </c>
      <c r="AC6" s="22" t="str">
        <f>IF(SUM(C6:Z6)=0,"",AB6/(SUMIF(C6:Z6,"&lt;&gt;",$C$4:$Z$4)-SUMIF(C6:Z6,"=E",$C$4:$Z$4)))</f>
        <v/>
      </c>
      <c r="AD6" s="23" t="str">
        <f>IF(AC6="","","   "&amp;INDEX(Results!$W$6:$W$18,MATCH(AC6,Results!$V$6:$V$18,1)))</f>
        <v/>
      </c>
    </row>
    <row r="7" spans="1:30" x14ac:dyDescent="0.2">
      <c r="A7" s="18">
        <f t="shared" ca="1" si="0"/>
        <v>2</v>
      </c>
      <c r="B7" s="38" t="str">
        <f>IF(Info!B7="Atlar şu ýeri","",Info!B7)</f>
        <v>Arslanow Yhlas</v>
      </c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20"/>
      <c r="AB7" s="21" t="str">
        <f t="shared" ref="AB7:AB45" si="1">IF(SUM(C7:Z7)=0,"",SUMPRODUCT(C7:Z7))</f>
        <v/>
      </c>
      <c r="AC7" s="22" t="str">
        <f t="shared" ref="AC7:AC45" si="2">IF(SUM(C7:Z7)=0,"",AB7/(SUMIF(C7:Z7,"&lt;&gt;",$C$4:$Z$4)-SUMIF(C7:Z7,"=E",$C$4:$Z$4)))</f>
        <v/>
      </c>
      <c r="AD7" s="23" t="str">
        <f>IF(AC7="","","   "&amp;INDEX(Results!$W$6:$W$18,MATCH(AC7,Results!$V$6:$V$18,1)))</f>
        <v/>
      </c>
    </row>
    <row r="8" spans="1:30" x14ac:dyDescent="0.2">
      <c r="A8" s="18">
        <f t="shared" ca="1" si="0"/>
        <v>3</v>
      </c>
      <c r="B8" s="38" t="str">
        <f>IF(Info!B8="Atlar şu ýeri","",Info!B8)</f>
        <v>Aşyrowa Maýsa</v>
      </c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20"/>
      <c r="AB8" s="21" t="str">
        <f t="shared" si="1"/>
        <v/>
      </c>
      <c r="AC8" s="22" t="str">
        <f t="shared" si="2"/>
        <v/>
      </c>
      <c r="AD8" s="23" t="str">
        <f>IF(AC8="","","   "&amp;INDEX(Results!$W$6:$W$18,MATCH(AC8,Results!$V$6:$V$18,1)))</f>
        <v/>
      </c>
    </row>
    <row r="9" spans="1:30" x14ac:dyDescent="0.2">
      <c r="A9" s="18">
        <f t="shared" ca="1" si="0"/>
        <v>4</v>
      </c>
      <c r="B9" s="38" t="str">
        <f>IF(Info!B9="Atlar şu ýeri","",Info!B9)</f>
        <v>Atabaýewa Ogulaý</v>
      </c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20"/>
      <c r="AB9" s="21" t="str">
        <f t="shared" si="1"/>
        <v/>
      </c>
      <c r="AC9" s="22" t="str">
        <f t="shared" si="2"/>
        <v/>
      </c>
      <c r="AD9" s="23" t="str">
        <f>IF(AC9="","","   "&amp;INDEX(Results!$W$6:$W$18,MATCH(AC9,Results!$V$6:$V$18,1)))</f>
        <v/>
      </c>
    </row>
    <row r="10" spans="1:30" x14ac:dyDescent="0.2">
      <c r="A10" s="18">
        <f t="shared" ca="1" si="0"/>
        <v>5</v>
      </c>
      <c r="B10" s="38" t="str">
        <f>IF(Info!B10="Atlar şu ýeri","",Info!B10)</f>
        <v>Atanazarow Meýlis</v>
      </c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20"/>
      <c r="AB10" s="21" t="str">
        <f t="shared" si="1"/>
        <v/>
      </c>
      <c r="AC10" s="22" t="str">
        <f t="shared" si="2"/>
        <v/>
      </c>
      <c r="AD10" s="23" t="str">
        <f>IF(AC10="","","   "&amp;INDEX(Results!$W$6:$W$18,MATCH(AC10,Results!$V$6:$V$18,1)))</f>
        <v/>
      </c>
    </row>
    <row r="11" spans="1:30" x14ac:dyDescent="0.2">
      <c r="A11" s="18">
        <f t="shared" ca="1" si="0"/>
        <v>6</v>
      </c>
      <c r="B11" s="38" t="str">
        <f>IF(Info!B11="Atlar şu ýeri","",Info!B11)</f>
        <v>Babajanowa Aýlar</v>
      </c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20"/>
      <c r="AB11" s="21" t="str">
        <f t="shared" si="1"/>
        <v/>
      </c>
      <c r="AC11" s="22" t="str">
        <f t="shared" si="2"/>
        <v/>
      </c>
      <c r="AD11" s="23" t="str">
        <f>IF(AC11="","","   "&amp;INDEX(Results!$W$6:$W$18,MATCH(AC11,Results!$V$6:$V$18,1)))</f>
        <v/>
      </c>
    </row>
    <row r="12" spans="1:30" x14ac:dyDescent="0.2">
      <c r="A12" s="18">
        <f t="shared" ca="1" si="0"/>
        <v>7</v>
      </c>
      <c r="B12" s="38" t="str">
        <f>IF(Info!B12="Atlar şu ýeri","",Info!B12)</f>
        <v>Babajanowa Selbi</v>
      </c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20"/>
      <c r="AB12" s="21" t="str">
        <f t="shared" si="1"/>
        <v/>
      </c>
      <c r="AC12" s="22" t="str">
        <f t="shared" si="2"/>
        <v/>
      </c>
      <c r="AD12" s="23" t="str">
        <f>IF(AC12="","","   "&amp;INDEX(Results!$W$6:$W$18,MATCH(AC12,Results!$V$6:$V$18,1)))</f>
        <v/>
      </c>
    </row>
    <row r="13" spans="1:30" x14ac:dyDescent="0.2">
      <c r="A13" s="18">
        <f t="shared" ca="1" si="0"/>
        <v>8</v>
      </c>
      <c r="B13" s="38" t="str">
        <f>IF(Info!B13="Atlar şu ýeri","",Info!B13)</f>
        <v>Ataýew Nurgeldi</v>
      </c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20"/>
      <c r="AB13" s="21" t="str">
        <f t="shared" si="1"/>
        <v/>
      </c>
      <c r="AC13" s="22" t="str">
        <f t="shared" si="2"/>
        <v/>
      </c>
      <c r="AD13" s="23" t="str">
        <f>IF(AC13="","","   "&amp;INDEX(Results!$W$6:$W$18,MATCH(AC13,Results!$V$6:$V$18,1)))</f>
        <v/>
      </c>
    </row>
    <row r="14" spans="1:30" x14ac:dyDescent="0.2">
      <c r="A14" s="18">
        <f t="shared" ca="1" si="0"/>
        <v>9</v>
      </c>
      <c r="B14" s="38" t="str">
        <f>IF(Info!B14="Atlar şu ýeri","",Info!B14)</f>
        <v>Batyrow Arafat</v>
      </c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20"/>
      <c r="AB14" s="21" t="str">
        <f t="shared" si="1"/>
        <v/>
      </c>
      <c r="AC14" s="22" t="str">
        <f t="shared" si="2"/>
        <v/>
      </c>
      <c r="AD14" s="23" t="str">
        <f>IF(AC14="","","   "&amp;INDEX(Results!$W$6:$W$18,MATCH(AC14,Results!$V$6:$V$18,1)))</f>
        <v/>
      </c>
    </row>
    <row r="15" spans="1:30" x14ac:dyDescent="0.2">
      <c r="A15" s="18">
        <f t="shared" ca="1" si="0"/>
        <v>10</v>
      </c>
      <c r="B15" s="38" t="str">
        <f>IF(Info!B15="Atlar şu ýeri","",Info!B15)</f>
        <v>Çaryýew Kemal</v>
      </c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20"/>
      <c r="AB15" s="21" t="str">
        <f t="shared" si="1"/>
        <v/>
      </c>
      <c r="AC15" s="22" t="str">
        <f t="shared" si="2"/>
        <v/>
      </c>
      <c r="AD15" s="23" t="str">
        <f>IF(AC15="","","   "&amp;INDEX(Results!$W$6:$W$18,MATCH(AC15,Results!$V$6:$V$18,1)))</f>
        <v/>
      </c>
    </row>
    <row r="16" spans="1:30" x14ac:dyDescent="0.2">
      <c r="A16" s="18">
        <f t="shared" ca="1" si="0"/>
        <v>11</v>
      </c>
      <c r="B16" s="38" t="str">
        <f>IF(Info!B16="Atlar şu ýeri","",Info!B16)</f>
        <v>Gurbanow Mekanmyrat</v>
      </c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20"/>
      <c r="AB16" s="21" t="str">
        <f t="shared" si="1"/>
        <v/>
      </c>
      <c r="AC16" s="22" t="str">
        <f t="shared" si="2"/>
        <v/>
      </c>
      <c r="AD16" s="23" t="str">
        <f>IF(AC16="","","   "&amp;INDEX(Results!$W$6:$W$18,MATCH(AC16,Results!$V$6:$V$18,1)))</f>
        <v/>
      </c>
    </row>
    <row r="17" spans="1:30" x14ac:dyDescent="0.2">
      <c r="A17" s="18">
        <f t="shared" ca="1" si="0"/>
        <v>12</v>
      </c>
      <c r="B17" s="38" t="str">
        <f>IF(Info!B17="Atlar şu ýeri","",Info!B17)</f>
        <v>Hojamuhammedow Guwanç</v>
      </c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20"/>
      <c r="AB17" s="21" t="str">
        <f t="shared" si="1"/>
        <v/>
      </c>
      <c r="AC17" s="22" t="str">
        <f t="shared" si="2"/>
        <v/>
      </c>
      <c r="AD17" s="23" t="str">
        <f>IF(AC17="","","   "&amp;INDEX(Results!$W$6:$W$18,MATCH(AC17,Results!$V$6:$V$18,1)))</f>
        <v/>
      </c>
    </row>
    <row r="18" spans="1:30" x14ac:dyDescent="0.2">
      <c r="A18" s="18">
        <f t="shared" ca="1" si="0"/>
        <v>13</v>
      </c>
      <c r="B18" s="38" t="str">
        <f>IF(Info!B18="Atlar şu ýeri","",Info!B18)</f>
        <v xml:space="preserve">Hojamämmedow  </v>
      </c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20"/>
      <c r="AB18" s="21" t="str">
        <f t="shared" si="1"/>
        <v/>
      </c>
      <c r="AC18" s="22" t="str">
        <f t="shared" si="2"/>
        <v/>
      </c>
      <c r="AD18" s="23" t="str">
        <f>IF(AC18="","","   "&amp;INDEX(Results!$W$6:$W$18,MATCH(AC18,Results!$V$6:$V$18,1)))</f>
        <v/>
      </c>
    </row>
    <row r="19" spans="1:30" x14ac:dyDescent="0.2">
      <c r="A19" s="18">
        <f t="shared" ca="1" si="0"/>
        <v>14</v>
      </c>
      <c r="B19" s="38" t="str">
        <f>IF(Info!B19="Atlar şu ýeri","",Info!B19)</f>
        <v>Hanowa Gülälek</v>
      </c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20"/>
      <c r="AB19" s="21" t="str">
        <f t="shared" si="1"/>
        <v/>
      </c>
      <c r="AC19" s="22" t="str">
        <f t="shared" si="2"/>
        <v/>
      </c>
      <c r="AD19" s="23" t="str">
        <f>IF(AC19="","","   "&amp;INDEX(Results!$W$6:$W$18,MATCH(AC19,Results!$V$6:$V$18,1)))</f>
        <v/>
      </c>
    </row>
    <row r="20" spans="1:30" x14ac:dyDescent="0.2">
      <c r="A20" s="18">
        <f t="shared" ca="1" si="0"/>
        <v>15</v>
      </c>
      <c r="B20" s="38" t="str">
        <f>IF(Info!B20="Atlar şu ýeri","",Info!B20)</f>
        <v>Husainow Serdar</v>
      </c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20"/>
      <c r="AB20" s="21" t="str">
        <f t="shared" si="1"/>
        <v/>
      </c>
      <c r="AC20" s="22" t="str">
        <f t="shared" si="2"/>
        <v/>
      </c>
      <c r="AD20" s="23" t="str">
        <f>IF(AC20="","","   "&amp;INDEX(Results!$W$6:$W$18,MATCH(AC20,Results!$V$6:$V$18,1)))</f>
        <v/>
      </c>
    </row>
    <row r="21" spans="1:30" x14ac:dyDescent="0.2">
      <c r="A21" s="18">
        <f t="shared" ca="1" si="0"/>
        <v>16</v>
      </c>
      <c r="B21" s="38" t="str">
        <f>IF(Info!B21="Atlar şu ýeri","",Info!B21)</f>
        <v>Orunowa Täçbibi</v>
      </c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20"/>
      <c r="AB21" s="21" t="str">
        <f t="shared" si="1"/>
        <v/>
      </c>
      <c r="AC21" s="22" t="str">
        <f t="shared" si="2"/>
        <v/>
      </c>
      <c r="AD21" s="23" t="str">
        <f>IF(AC21="","","   "&amp;INDEX(Results!$W$6:$W$18,MATCH(AC21,Results!$V$6:$V$18,1)))</f>
        <v/>
      </c>
    </row>
    <row r="22" spans="1:30" x14ac:dyDescent="0.2">
      <c r="A22" s="18">
        <f t="shared" ca="1" si="0"/>
        <v>17</v>
      </c>
      <c r="B22" s="38" t="str">
        <f>IF(Info!B22="Atlar şu ýeri","",Info!B22)</f>
        <v>Ilýasow Älem</v>
      </c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20"/>
      <c r="AB22" s="21" t="str">
        <f t="shared" si="1"/>
        <v/>
      </c>
      <c r="AC22" s="22" t="str">
        <f t="shared" si="2"/>
        <v/>
      </c>
      <c r="AD22" s="23" t="str">
        <f>IF(AC22="","","   "&amp;INDEX(Results!$W$6:$W$18,MATCH(AC22,Results!$V$6:$V$18,1)))</f>
        <v/>
      </c>
    </row>
    <row r="23" spans="1:30" x14ac:dyDescent="0.2">
      <c r="A23" s="18">
        <f t="shared" ca="1" si="0"/>
        <v>18</v>
      </c>
      <c r="B23" s="38" t="str">
        <f>IF(Info!B23="Atlar şu ýeri","",Info!B23)</f>
        <v>Karabaýew Begli</v>
      </c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20"/>
      <c r="AB23" s="21" t="str">
        <f t="shared" si="1"/>
        <v/>
      </c>
      <c r="AC23" s="22" t="str">
        <f t="shared" si="2"/>
        <v/>
      </c>
      <c r="AD23" s="23" t="str">
        <f>IF(AC23="","","   "&amp;INDEX(Results!$W$6:$W$18,MATCH(AC23,Results!$V$6:$V$18,1)))</f>
        <v/>
      </c>
    </row>
    <row r="24" spans="1:30" x14ac:dyDescent="0.2">
      <c r="A24" s="18">
        <f t="shared" ca="1" si="0"/>
        <v>19</v>
      </c>
      <c r="B24" s="38" t="str">
        <f>IF(Info!B24="Atlar şu ýeri","",Info!B24)</f>
        <v>Kurbanow Wekil</v>
      </c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20"/>
      <c r="AB24" s="21" t="str">
        <f t="shared" si="1"/>
        <v/>
      </c>
      <c r="AC24" s="22" t="str">
        <f t="shared" si="2"/>
        <v/>
      </c>
      <c r="AD24" s="23" t="str">
        <f>IF(AC24="","","   "&amp;INDEX(Results!$W$6:$W$18,MATCH(AC24,Results!$V$6:$V$18,1)))</f>
        <v/>
      </c>
    </row>
    <row r="25" spans="1:30" x14ac:dyDescent="0.2">
      <c r="A25" s="18">
        <f t="shared" ca="1" si="0"/>
        <v>20</v>
      </c>
      <c r="B25" s="38" t="str">
        <f>IF(Info!B25="Atlar şu ýeri","",Info!B25)</f>
        <v>Madraimow Seidjan</v>
      </c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20"/>
      <c r="AB25" s="21" t="str">
        <f t="shared" si="1"/>
        <v/>
      </c>
      <c r="AC25" s="22" t="str">
        <f t="shared" si="2"/>
        <v/>
      </c>
      <c r="AD25" s="23" t="str">
        <f>IF(AC25="","","   "&amp;INDEX(Results!$W$6:$W$18,MATCH(AC25,Results!$V$6:$V$18,1)))</f>
        <v/>
      </c>
    </row>
    <row r="26" spans="1:30" x14ac:dyDescent="0.2">
      <c r="A26" s="18">
        <f t="shared" ca="1" si="0"/>
        <v>21</v>
      </c>
      <c r="B26" s="38" t="str">
        <f>IF(Info!B26="Atlar şu ýeri","",Info!B26)</f>
        <v>Matmuradowa Gulnur</v>
      </c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20"/>
      <c r="AB26" s="21" t="str">
        <f t="shared" si="1"/>
        <v/>
      </c>
      <c r="AC26" s="22" t="str">
        <f t="shared" si="2"/>
        <v/>
      </c>
      <c r="AD26" s="23" t="str">
        <f>IF(AC26="","","   "&amp;INDEX(Results!$W$6:$W$18,MATCH(AC26,Results!$V$6:$V$18,1)))</f>
        <v/>
      </c>
    </row>
    <row r="27" spans="1:30" x14ac:dyDescent="0.2">
      <c r="A27" s="18">
        <f t="shared" ca="1" si="0"/>
        <v>22</v>
      </c>
      <c r="B27" s="38" t="str">
        <f>IF(Info!B27="Atlar şu ýeri","",Info!B27)</f>
        <v>Myradowa Aýjahan</v>
      </c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20"/>
      <c r="AB27" s="21" t="str">
        <f t="shared" si="1"/>
        <v/>
      </c>
      <c r="AC27" s="22" t="str">
        <f t="shared" si="2"/>
        <v/>
      </c>
      <c r="AD27" s="23" t="str">
        <f>IF(AC27="","","   "&amp;INDEX(Results!$W$6:$W$18,MATCH(AC27,Results!$V$6:$V$18,1)))</f>
        <v/>
      </c>
    </row>
    <row r="28" spans="1:30" x14ac:dyDescent="0.2">
      <c r="A28" s="18">
        <f t="shared" ca="1" si="0"/>
        <v>23</v>
      </c>
      <c r="B28" s="38" t="str">
        <f>IF(Info!B28="Atlar şu ýeri","",Info!B28)</f>
        <v>Osmanowa Ýyldyz</v>
      </c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20"/>
      <c r="AB28" s="21" t="str">
        <f t="shared" si="1"/>
        <v/>
      </c>
      <c r="AC28" s="22" t="str">
        <f t="shared" si="2"/>
        <v/>
      </c>
      <c r="AD28" s="23" t="str">
        <f>IF(AC28="","","   "&amp;INDEX(Results!$W$6:$W$18,MATCH(AC28,Results!$V$6:$V$18,1)))</f>
        <v/>
      </c>
    </row>
    <row r="29" spans="1:30" x14ac:dyDescent="0.2">
      <c r="A29" s="18">
        <f t="shared" ca="1" si="0"/>
        <v>24</v>
      </c>
      <c r="B29" s="38" t="str">
        <f>IF(Info!B29="Atlar şu ýeri","",Info!B29)</f>
        <v>Orazowa Aýnur</v>
      </c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20"/>
      <c r="AB29" s="21" t="str">
        <f t="shared" si="1"/>
        <v/>
      </c>
      <c r="AC29" s="22" t="str">
        <f t="shared" si="2"/>
        <v/>
      </c>
      <c r="AD29" s="23" t="str">
        <f>IF(AC29="","","   "&amp;INDEX(Results!$W$6:$W$18,MATCH(AC29,Results!$V$6:$V$18,1)))</f>
        <v/>
      </c>
    </row>
    <row r="30" spans="1:30" x14ac:dyDescent="0.2">
      <c r="A30" s="18">
        <f t="shared" ca="1" si="0"/>
        <v>25</v>
      </c>
      <c r="B30" s="38" t="str">
        <f>IF(Info!B30="Atlar şu ýeri","",Info!B30)</f>
        <v>Orunowa Aýjemal</v>
      </c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20"/>
      <c r="AB30" s="21" t="str">
        <f t="shared" si="1"/>
        <v/>
      </c>
      <c r="AC30" s="22" t="str">
        <f t="shared" si="2"/>
        <v/>
      </c>
      <c r="AD30" s="23" t="str">
        <f>IF(AC30="","","   "&amp;INDEX(Results!$W$6:$W$18,MATCH(AC30,Results!$V$6:$V$18,1)))</f>
        <v/>
      </c>
    </row>
    <row r="31" spans="1:30" x14ac:dyDescent="0.2">
      <c r="A31" s="18">
        <f t="shared" ca="1" si="0"/>
        <v>26</v>
      </c>
      <c r="B31" s="38" t="str">
        <f>IF(Info!B31="Atlar şu ýeri","",Info!B31)</f>
        <v>Öwezow Döwlet</v>
      </c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20"/>
      <c r="AB31" s="21" t="str">
        <f t="shared" si="1"/>
        <v/>
      </c>
      <c r="AC31" s="22" t="str">
        <f t="shared" si="2"/>
        <v/>
      </c>
      <c r="AD31" s="23" t="str">
        <f>IF(AC31="","","   "&amp;INDEX(Results!$W$6:$W$18,MATCH(AC31,Results!$V$6:$V$18,1)))</f>
        <v/>
      </c>
    </row>
    <row r="32" spans="1:30" x14ac:dyDescent="0.2">
      <c r="A32" s="18">
        <f t="shared" ca="1" si="0"/>
        <v>27</v>
      </c>
      <c r="B32" s="38" t="str">
        <f>IF(Info!B32="Atlar şu ýeri","",Info!B32)</f>
        <v>Piriýew Aýhan</v>
      </c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20"/>
      <c r="AB32" s="21" t="str">
        <f t="shared" si="1"/>
        <v/>
      </c>
      <c r="AC32" s="22" t="str">
        <f t="shared" si="2"/>
        <v/>
      </c>
      <c r="AD32" s="23" t="str">
        <f>IF(AC32="","","   "&amp;INDEX(Results!$W$6:$W$18,MATCH(AC32,Results!$V$6:$V$18,1)))</f>
        <v/>
      </c>
    </row>
    <row r="33" spans="1:32" x14ac:dyDescent="0.2">
      <c r="A33" s="18">
        <f t="shared" ca="1" si="0"/>
        <v>28</v>
      </c>
      <c r="B33" s="38" t="str">
        <f>IF(Info!B33="Atlar şu ýeri","",Info!B33)</f>
        <v>Taganow Sanjar</v>
      </c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20"/>
      <c r="AB33" s="21" t="str">
        <f t="shared" si="1"/>
        <v/>
      </c>
      <c r="AC33" s="22" t="str">
        <f t="shared" si="2"/>
        <v/>
      </c>
      <c r="AD33" s="23" t="str">
        <f>IF(AC33="","","   "&amp;INDEX(Results!$W$6:$W$18,MATCH(AC33,Results!$V$6:$V$18,1)))</f>
        <v/>
      </c>
    </row>
    <row r="34" spans="1:32" x14ac:dyDescent="0.2">
      <c r="A34" s="18">
        <f t="shared" ca="1" si="0"/>
        <v>29</v>
      </c>
      <c r="B34" s="38" t="str">
        <f>IF(Info!B34="Atlar şu ýeri","",Info!B34)</f>
        <v>Weliýew Öwez</v>
      </c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20"/>
      <c r="AB34" s="21" t="str">
        <f t="shared" si="1"/>
        <v/>
      </c>
      <c r="AC34" s="22" t="str">
        <f t="shared" si="2"/>
        <v/>
      </c>
      <c r="AD34" s="23" t="str">
        <f>IF(AC34="","","   "&amp;INDEX(Results!$W$6:$W$18,MATCH(AC34,Results!$V$6:$V$18,1)))</f>
        <v/>
      </c>
    </row>
    <row r="35" spans="1:32" x14ac:dyDescent="0.2">
      <c r="A35" s="18">
        <f t="shared" ca="1" si="0"/>
        <v>30</v>
      </c>
      <c r="B35" s="38" t="str">
        <f>IF(Info!B35="Atlar şu ýeri","",Info!B35)</f>
        <v>Ýagşybaýew Muhammet</v>
      </c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20"/>
      <c r="AB35" s="21" t="str">
        <f t="shared" si="1"/>
        <v/>
      </c>
      <c r="AC35" s="22" t="str">
        <f t="shared" si="2"/>
        <v/>
      </c>
      <c r="AD35" s="23" t="str">
        <f>IF(AC35="","","   "&amp;INDEX(Results!$W$6:$W$18,MATCH(AC35,Results!$V$6:$V$18,1)))</f>
        <v/>
      </c>
    </row>
    <row r="36" spans="1:32" ht="6.75" customHeight="1" x14ac:dyDescent="0.2">
      <c r="A36" s="18">
        <f t="shared" ca="1" si="0"/>
        <v>31</v>
      </c>
      <c r="B36" s="38" t="str">
        <f>IF(Info!B36="Atlar şu ýeri","",Info!B36)</f>
        <v>Ýazberdiýewa Söýli</v>
      </c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20"/>
      <c r="AB36" s="21" t="str">
        <f t="shared" si="1"/>
        <v/>
      </c>
      <c r="AC36" s="22" t="str">
        <f t="shared" si="2"/>
        <v/>
      </c>
      <c r="AD36" s="23" t="str">
        <f>IF(AC36="","","   "&amp;INDEX(Results!$W$6:$W$18,MATCH(AC36,Results!$V$6:$V$18,1)))</f>
        <v/>
      </c>
    </row>
    <row r="37" spans="1:32" x14ac:dyDescent="0.2">
      <c r="A37" s="18">
        <f t="shared" ca="1" si="0"/>
        <v>32</v>
      </c>
      <c r="B37" s="38" t="str">
        <f>IF(Info!B37="Atlar şu ýeri","",Info!B37)</f>
        <v>Ýazyýewa Meňli</v>
      </c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20"/>
      <c r="AB37" s="21" t="str">
        <f t="shared" si="1"/>
        <v/>
      </c>
      <c r="AC37" s="22" t="str">
        <f t="shared" si="2"/>
        <v/>
      </c>
      <c r="AD37" s="23" t="str">
        <f>IF(AC37="","","   "&amp;INDEX(Results!$W$6:$W$18,MATCH(AC37,Results!$V$6:$V$18,1)))</f>
        <v/>
      </c>
    </row>
    <row r="38" spans="1:32" x14ac:dyDescent="0.2">
      <c r="A38" s="18">
        <f t="shared" ca="1" si="0"/>
        <v>33</v>
      </c>
      <c r="B38" s="38" t="str">
        <f>IF(Info!B38="Atlar şu ýeri","",Info!B38)</f>
        <v>Ýunusow Ýunus</v>
      </c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20"/>
      <c r="AB38" s="21" t="str">
        <f t="shared" si="1"/>
        <v/>
      </c>
      <c r="AC38" s="22" t="str">
        <f t="shared" si="2"/>
        <v/>
      </c>
      <c r="AD38" s="23" t="str">
        <f>IF(AC38="","","   "&amp;INDEX(Results!$W$6:$W$18,MATCH(AC38,Results!$V$6:$V$18,1)))</f>
        <v/>
      </c>
    </row>
    <row r="39" spans="1:32" x14ac:dyDescent="0.2">
      <c r="A39" s="18">
        <f t="shared" ca="1" si="0"/>
        <v>34</v>
      </c>
      <c r="B39" s="38" t="str">
        <f>IF(Info!B39="Atlar şu ýeri","",Info!B39)</f>
        <v>Ýusupowa  Jahan</v>
      </c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20"/>
      <c r="AB39" s="21" t="str">
        <f t="shared" si="1"/>
        <v/>
      </c>
      <c r="AC39" s="22" t="str">
        <f t="shared" si="2"/>
        <v/>
      </c>
      <c r="AD39" s="23" t="str">
        <f>IF(AC39="","","   "&amp;INDEX(Results!$W$6:$W$18,MATCH(AC39,Results!$V$6:$V$18,1)))</f>
        <v/>
      </c>
    </row>
    <row r="40" spans="1:32" x14ac:dyDescent="0.2">
      <c r="A40" s="18">
        <f t="shared" ca="1" si="0"/>
        <v>35</v>
      </c>
      <c r="B40" s="38" t="str">
        <f>IF(Info!B40="Atlar şu ýeri","",Info!B40)</f>
        <v/>
      </c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20"/>
      <c r="AB40" s="21" t="str">
        <f t="shared" si="1"/>
        <v/>
      </c>
      <c r="AC40" s="22" t="str">
        <f t="shared" si="2"/>
        <v/>
      </c>
      <c r="AD40" s="23" t="str">
        <f>IF(AC40="","","   "&amp;INDEX(Results!$W$6:$W$18,MATCH(AC40,Results!$V$6:$V$18,1)))</f>
        <v/>
      </c>
    </row>
    <row r="41" spans="1:32" x14ac:dyDescent="0.2">
      <c r="A41" s="18">
        <f t="shared" ca="1" si="0"/>
        <v>36</v>
      </c>
      <c r="B41" s="38" t="str">
        <f>IF(Info!B41="Atlar şu ýeri","",Info!B41)</f>
        <v/>
      </c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20"/>
      <c r="AB41" s="21" t="str">
        <f t="shared" si="1"/>
        <v/>
      </c>
      <c r="AC41" s="22" t="str">
        <f t="shared" si="2"/>
        <v/>
      </c>
      <c r="AD41" s="23" t="str">
        <f>IF(AC41="","","   "&amp;INDEX(Results!$W$6:$W$18,MATCH(AC41,Results!$V$6:$V$18,1)))</f>
        <v/>
      </c>
    </row>
    <row r="42" spans="1:32" x14ac:dyDescent="0.2">
      <c r="A42" s="18">
        <f t="shared" ca="1" si="0"/>
        <v>37</v>
      </c>
      <c r="B42" s="38" t="str">
        <f>IF(Info!B42="Atlar şu ýeri","",Info!B42)</f>
        <v/>
      </c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20"/>
      <c r="AB42" s="21" t="str">
        <f t="shared" si="1"/>
        <v/>
      </c>
      <c r="AC42" s="22" t="str">
        <f t="shared" si="2"/>
        <v/>
      </c>
      <c r="AD42" s="23" t="str">
        <f>IF(AC42="","","   "&amp;INDEX(Results!$W$6:$W$18,MATCH(AC42,Results!$V$6:$V$18,1)))</f>
        <v/>
      </c>
    </row>
    <row r="43" spans="1:32" x14ac:dyDescent="0.2">
      <c r="A43" s="18">
        <f t="shared" ca="1" si="0"/>
        <v>38</v>
      </c>
      <c r="B43" s="38" t="str">
        <f>IF(Info!B43="Atlar şu ýeri","",Info!B43)</f>
        <v/>
      </c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20"/>
      <c r="AB43" s="21" t="str">
        <f t="shared" si="1"/>
        <v/>
      </c>
      <c r="AC43" s="22" t="str">
        <f t="shared" si="2"/>
        <v/>
      </c>
      <c r="AD43" s="23" t="str">
        <f>IF(AC43="","","   "&amp;INDEX(Results!$W$6:$W$18,MATCH(AC43,Results!$V$6:$V$18,1)))</f>
        <v/>
      </c>
    </row>
    <row r="44" spans="1:32" x14ac:dyDescent="0.2">
      <c r="A44" s="18">
        <f t="shared" ca="1" si="0"/>
        <v>39</v>
      </c>
      <c r="B44" s="38" t="str">
        <f>IF(Info!B44="Atlar şu ýeri","",Info!B44)</f>
        <v/>
      </c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20"/>
      <c r="AB44" s="21" t="str">
        <f t="shared" si="1"/>
        <v/>
      </c>
      <c r="AC44" s="22" t="str">
        <f t="shared" si="2"/>
        <v/>
      </c>
      <c r="AD44" s="23" t="str">
        <f>IF(AC44="","","   "&amp;INDEX(Results!$W$6:$W$18,MATCH(AC44,Results!$V$6:$V$18,1)))</f>
        <v/>
      </c>
    </row>
    <row r="45" spans="1:32" x14ac:dyDescent="0.2">
      <c r="A45" s="18">
        <f t="shared" ca="1" si="0"/>
        <v>40</v>
      </c>
      <c r="B45" s="38" t="str">
        <f>IF(Info!B45="Atlar şu ýeri","",Info!B45)</f>
        <v/>
      </c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20"/>
      <c r="AB45" s="21" t="str">
        <f t="shared" si="1"/>
        <v/>
      </c>
      <c r="AC45" s="22" t="str">
        <f t="shared" si="2"/>
        <v/>
      </c>
      <c r="AD45" s="23" t="str">
        <f>IF(AC45="","","   "&amp;INDEX(Results!$W$6:$W$18,MATCH(AC45,Results!$V$6:$V$18,1)))</f>
        <v/>
      </c>
    </row>
    <row r="46" spans="1:32" x14ac:dyDescent="0.2">
      <c r="A46" s="24" t="s">
        <v>0</v>
      </c>
      <c r="B46" s="25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96">
        <v>1</v>
      </c>
      <c r="AA46" s="27"/>
      <c r="AB46" s="28"/>
      <c r="AC46" s="29"/>
      <c r="AD46" s="30"/>
    </row>
    <row r="47" spans="1:32" x14ac:dyDescent="0.2">
      <c r="A47" s="2"/>
      <c r="B47" s="31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AA47" s="27"/>
      <c r="AB47" s="33" t="s">
        <v>155</v>
      </c>
      <c r="AC47" s="34" t="e">
        <f>AVERAGE(AC6:AC46)</f>
        <v>#DIV/0!</v>
      </c>
      <c r="AD47" s="35" t="e">
        <f>IF(AC47="","",INDEX(Results!$W$6:$W$18,MATCH(AC47,Results!$V$6:$V$18,1)))</f>
        <v>#DIV/0!</v>
      </c>
      <c r="AF47" s="36"/>
    </row>
    <row r="48" spans="1:32" x14ac:dyDescent="0.2">
      <c r="A48" s="2"/>
      <c r="B48" s="31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27"/>
      <c r="AB48" s="90"/>
      <c r="AC48" s="91"/>
      <c r="AD48" s="92"/>
      <c r="AF48" s="36"/>
    </row>
    <row r="49" spans="1:30" x14ac:dyDescent="0.2">
      <c r="A49" s="2"/>
      <c r="B49" s="37"/>
      <c r="C49" s="32"/>
      <c r="D49" s="32"/>
      <c r="E49" s="32"/>
      <c r="F49" s="32"/>
      <c r="G49" s="32"/>
      <c r="H49" s="32"/>
      <c r="I49" s="93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27"/>
      <c r="AB49" s="2"/>
      <c r="AC49" s="2"/>
      <c r="AD49" s="2"/>
    </row>
  </sheetData>
  <mergeCells count="4">
    <mergeCell ref="AB3:AB4"/>
    <mergeCell ref="AC3:AC4"/>
    <mergeCell ref="AD3:AD4"/>
    <mergeCell ref="C1:T1"/>
  </mergeCell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D43"/>
  <sheetViews>
    <sheetView workbookViewId="0">
      <selection sqref="A1:AL43"/>
    </sheetView>
  </sheetViews>
  <sheetFormatPr defaultRowHeight="12.75" x14ac:dyDescent="0.2"/>
  <cols>
    <col min="1" max="1" width="3.7109375" style="1" customWidth="1"/>
    <col min="2" max="2" width="38" style="1" bestFit="1" customWidth="1"/>
    <col min="3" max="16" width="7.140625" style="1" customWidth="1"/>
    <col min="17" max="17" width="1.42578125" style="1" customWidth="1"/>
    <col min="18" max="19" width="7.5703125" style="1" customWidth="1"/>
    <col min="20" max="20" width="6.85546875" style="1" customWidth="1"/>
    <col min="21" max="21" width="5.28515625" style="1" customWidth="1"/>
    <col min="22" max="22" width="16.7109375" style="1" customWidth="1"/>
    <col min="23" max="16384" width="9.140625" style="1"/>
  </cols>
  <sheetData>
    <row r="1" spans="1:30" ht="19.5" x14ac:dyDescent="0.3">
      <c r="A1" s="2"/>
      <c r="B1" s="3" t="s">
        <v>56</v>
      </c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87"/>
      <c r="V1" s="87"/>
      <c r="W1" s="4"/>
      <c r="X1" s="4"/>
      <c r="Y1" s="4"/>
      <c r="Z1" s="4"/>
      <c r="AA1" s="4"/>
      <c r="AB1" s="4"/>
      <c r="AC1" s="6"/>
      <c r="AD1" s="6"/>
    </row>
    <row r="2" spans="1:30" ht="15" x14ac:dyDescent="0.25">
      <c r="A2" s="2"/>
      <c r="B2" s="7" t="s">
        <v>6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10"/>
    </row>
    <row r="3" spans="1:30" ht="42" customHeight="1" x14ac:dyDescent="0.25">
      <c r="A3" s="11"/>
      <c r="B3" s="12" t="s">
        <v>14</v>
      </c>
      <c r="C3" s="13" t="s">
        <v>15</v>
      </c>
      <c r="D3" s="13" t="s">
        <v>16</v>
      </c>
      <c r="E3" s="13" t="s">
        <v>17</v>
      </c>
      <c r="F3" s="13" t="s">
        <v>18</v>
      </c>
      <c r="G3" s="13" t="s">
        <v>19</v>
      </c>
      <c r="H3" s="13" t="s">
        <v>20</v>
      </c>
      <c r="I3" s="13" t="s">
        <v>21</v>
      </c>
      <c r="J3" s="13" t="s">
        <v>22</v>
      </c>
      <c r="K3" s="13" t="s">
        <v>23</v>
      </c>
      <c r="L3" s="13" t="s">
        <v>24</v>
      </c>
      <c r="M3" s="13" t="s">
        <v>25</v>
      </c>
      <c r="N3" s="13" t="s">
        <v>26</v>
      </c>
      <c r="O3" s="13" t="s">
        <v>27</v>
      </c>
      <c r="P3" s="13" t="s">
        <v>28</v>
      </c>
      <c r="Q3" s="13" t="s">
        <v>46</v>
      </c>
      <c r="R3" s="13" t="s">
        <v>47</v>
      </c>
      <c r="S3" s="13" t="s">
        <v>48</v>
      </c>
      <c r="T3" s="13" t="s">
        <v>49</v>
      </c>
      <c r="U3" s="13" t="s">
        <v>50</v>
      </c>
      <c r="V3" s="13" t="s">
        <v>51</v>
      </c>
      <c r="W3" s="13" t="s">
        <v>52</v>
      </c>
      <c r="X3" s="13" t="s">
        <v>53</v>
      </c>
      <c r="Y3" s="13" t="s">
        <v>54</v>
      </c>
      <c r="Z3" s="13" t="s">
        <v>55</v>
      </c>
      <c r="AA3" s="14"/>
      <c r="AB3" s="97" t="s">
        <v>29</v>
      </c>
      <c r="AC3" s="98" t="s">
        <v>36</v>
      </c>
      <c r="AD3" s="99" t="s">
        <v>35</v>
      </c>
    </row>
    <row r="4" spans="1:30" x14ac:dyDescent="0.2">
      <c r="A4" s="11"/>
      <c r="B4" s="15" t="s">
        <v>30</v>
      </c>
      <c r="C4" s="16">
        <v>5</v>
      </c>
      <c r="D4" s="16">
        <v>5</v>
      </c>
      <c r="E4" s="16">
        <v>5</v>
      </c>
      <c r="F4" s="16">
        <v>5</v>
      </c>
      <c r="G4" s="16">
        <v>5</v>
      </c>
      <c r="H4" s="16">
        <v>5</v>
      </c>
      <c r="I4" s="16">
        <v>5</v>
      </c>
      <c r="J4" s="16">
        <v>5</v>
      </c>
      <c r="K4" s="16">
        <v>5</v>
      </c>
      <c r="L4" s="16">
        <v>5</v>
      </c>
      <c r="M4" s="16">
        <v>5</v>
      </c>
      <c r="N4" s="16">
        <v>5</v>
      </c>
      <c r="O4" s="16">
        <v>5</v>
      </c>
      <c r="P4" s="16">
        <v>5</v>
      </c>
      <c r="Q4" s="16">
        <v>5</v>
      </c>
      <c r="R4" s="16">
        <v>5</v>
      </c>
      <c r="S4" s="16">
        <v>5</v>
      </c>
      <c r="T4" s="16">
        <v>5</v>
      </c>
      <c r="U4" s="16">
        <v>5</v>
      </c>
      <c r="V4" s="16">
        <v>5</v>
      </c>
      <c r="W4" s="16">
        <v>5</v>
      </c>
      <c r="X4" s="16">
        <v>5</v>
      </c>
      <c r="Y4" s="16">
        <v>5</v>
      </c>
      <c r="Z4" s="16">
        <v>5</v>
      </c>
      <c r="AA4" s="17"/>
      <c r="AB4" s="97"/>
      <c r="AC4" s="97"/>
      <c r="AD4" s="97"/>
    </row>
    <row r="5" spans="1:30" ht="6" customHeight="1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18">
        <f t="shared" ref="A6:A43" ca="1" si="0">OFFSET(A6,-1,0,1,1)+1</f>
        <v>1</v>
      </c>
      <c r="B6" s="38" t="str">
        <f>IF(Info!B6="Atlar şu ýeri","",Info!B6)</f>
        <v>Abdullaýewa Dinara</v>
      </c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20"/>
      <c r="AB6" s="21" t="str">
        <f t="shared" ref="AB6:AB33" si="1">IF(SUM(C6:Z6)=0,"",SUMPRODUCT(C6:Z6))</f>
        <v/>
      </c>
      <c r="AC6" s="22" t="str">
        <f t="shared" ref="AC6:AC33" si="2">IF(SUM(C6:Z6)=0,"",AB6/(SUMIF(C6:Z6,"&lt;&gt;",$C$4:$Z$4)-SUMIF(C6:Z6,"=E",$C$4:$Z$4)))</f>
        <v/>
      </c>
      <c r="AD6" s="23" t="str">
        <f>IF(AC6="","","   "&amp;INDEX(Results!$W$6:$W$18,MATCH(AC6,Results!$V$6:$V$18,1)))</f>
        <v/>
      </c>
    </row>
    <row r="7" spans="1:30" x14ac:dyDescent="0.2">
      <c r="A7" s="18">
        <f t="shared" ca="1" si="0"/>
        <v>2</v>
      </c>
      <c r="B7" s="38" t="str">
        <f>IF(Info!B7="Atlar şu ýeri","",Info!B7)</f>
        <v>Arslanow Yhlas</v>
      </c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20"/>
      <c r="AB7" s="21" t="str">
        <f t="shared" si="1"/>
        <v/>
      </c>
      <c r="AC7" s="22" t="str">
        <f t="shared" si="2"/>
        <v/>
      </c>
      <c r="AD7" s="23" t="str">
        <f>IF(AC7="","","   "&amp;INDEX(Results!$W$6:$W$18,MATCH(AC7,Results!$V$6:$V$18,1)))</f>
        <v/>
      </c>
    </row>
    <row r="8" spans="1:30" x14ac:dyDescent="0.2">
      <c r="A8" s="18">
        <f t="shared" ca="1" si="0"/>
        <v>3</v>
      </c>
      <c r="B8" s="38" t="str">
        <f>IF(Info!B8="Atlar şu ýeri","",Info!B8)</f>
        <v>Aşyrowa Maýsa</v>
      </c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20"/>
      <c r="AB8" s="21" t="str">
        <f t="shared" si="1"/>
        <v/>
      </c>
      <c r="AC8" s="22" t="str">
        <f t="shared" si="2"/>
        <v/>
      </c>
      <c r="AD8" s="23" t="str">
        <f>IF(AC8="","","   "&amp;INDEX(Results!$W$6:$W$18,MATCH(AC8,Results!$V$6:$V$18,1)))</f>
        <v/>
      </c>
    </row>
    <row r="9" spans="1:30" x14ac:dyDescent="0.2">
      <c r="A9" s="18">
        <f t="shared" ca="1" si="0"/>
        <v>4</v>
      </c>
      <c r="B9" s="38" t="str">
        <f>IF(Info!B9="Atlar şu ýeri","",Info!B9)</f>
        <v>Atabaýewa Ogulaý</v>
      </c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20"/>
      <c r="AB9" s="21" t="str">
        <f t="shared" si="1"/>
        <v/>
      </c>
      <c r="AC9" s="22" t="str">
        <f t="shared" si="2"/>
        <v/>
      </c>
      <c r="AD9" s="23" t="str">
        <f>IF(AC9="","","   "&amp;INDEX(Results!$W$6:$W$18,MATCH(AC9,Results!$V$6:$V$18,1)))</f>
        <v/>
      </c>
    </row>
    <row r="10" spans="1:30" x14ac:dyDescent="0.2">
      <c r="A10" s="18">
        <f t="shared" ca="1" si="0"/>
        <v>5</v>
      </c>
      <c r="B10" s="38" t="str">
        <f>IF(Info!B10="Atlar şu ýeri","",Info!B10)</f>
        <v>Atanazarow Meýlis</v>
      </c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20"/>
      <c r="AB10" s="21" t="str">
        <f t="shared" si="1"/>
        <v/>
      </c>
      <c r="AC10" s="22" t="str">
        <f t="shared" si="2"/>
        <v/>
      </c>
      <c r="AD10" s="23" t="str">
        <f>IF(AC10="","","   "&amp;INDEX(Results!$W$6:$W$18,MATCH(AC10,Results!$V$6:$V$18,1)))</f>
        <v/>
      </c>
    </row>
    <row r="11" spans="1:30" x14ac:dyDescent="0.2">
      <c r="A11" s="18">
        <f t="shared" ca="1" si="0"/>
        <v>6</v>
      </c>
      <c r="B11" s="38" t="str">
        <f>IF(Info!B11="Atlar şu ýeri","",Info!B11)</f>
        <v>Babajanowa Aýlar</v>
      </c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20"/>
      <c r="AB11" s="21" t="str">
        <f t="shared" si="1"/>
        <v/>
      </c>
      <c r="AC11" s="22" t="str">
        <f t="shared" si="2"/>
        <v/>
      </c>
      <c r="AD11" s="23" t="str">
        <f>IF(AC11="","","   "&amp;INDEX(Results!$W$6:$W$18,MATCH(AC11,Results!$V$6:$V$18,1)))</f>
        <v/>
      </c>
    </row>
    <row r="12" spans="1:30" x14ac:dyDescent="0.2">
      <c r="A12" s="18">
        <f t="shared" ca="1" si="0"/>
        <v>7</v>
      </c>
      <c r="B12" s="38" t="str">
        <f>IF(Info!B12="Atlar şu ýeri","",Info!B12)</f>
        <v>Babajanowa Selbi</v>
      </c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20"/>
      <c r="AB12" s="21" t="str">
        <f t="shared" si="1"/>
        <v/>
      </c>
      <c r="AC12" s="22" t="str">
        <f t="shared" si="2"/>
        <v/>
      </c>
      <c r="AD12" s="23" t="str">
        <f>IF(AC12="","","   "&amp;INDEX(Results!$W$6:$W$18,MATCH(AC12,Results!$V$6:$V$18,1)))</f>
        <v/>
      </c>
    </row>
    <row r="13" spans="1:30" x14ac:dyDescent="0.2">
      <c r="A13" s="18">
        <f t="shared" ca="1" si="0"/>
        <v>8</v>
      </c>
      <c r="B13" s="38" t="str">
        <f>IF(Info!B13="Atlar şu ýeri","",Info!B13)</f>
        <v>Ataýew Nurgeldi</v>
      </c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20"/>
      <c r="AB13" s="21" t="str">
        <f t="shared" si="1"/>
        <v/>
      </c>
      <c r="AC13" s="22" t="str">
        <f t="shared" si="2"/>
        <v/>
      </c>
      <c r="AD13" s="23" t="str">
        <f>IF(AC13="","","   "&amp;INDEX(Results!$W$6:$W$18,MATCH(AC13,Results!$V$6:$V$18,1)))</f>
        <v/>
      </c>
    </row>
    <row r="14" spans="1:30" x14ac:dyDescent="0.2">
      <c r="A14" s="18">
        <f t="shared" ca="1" si="0"/>
        <v>9</v>
      </c>
      <c r="B14" s="38" t="str">
        <f>IF(Info!B14="Atlar şu ýeri","",Info!B14)</f>
        <v>Batyrow Arafat</v>
      </c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20"/>
      <c r="AB14" s="21" t="str">
        <f t="shared" si="1"/>
        <v/>
      </c>
      <c r="AC14" s="22" t="str">
        <f t="shared" si="2"/>
        <v/>
      </c>
      <c r="AD14" s="23" t="str">
        <f>IF(AC14="","","   "&amp;INDEX(Results!$W$6:$W$18,MATCH(AC14,Results!$V$6:$V$18,1)))</f>
        <v/>
      </c>
    </row>
    <row r="15" spans="1:30" x14ac:dyDescent="0.2">
      <c r="A15" s="18">
        <f t="shared" ca="1" si="0"/>
        <v>10</v>
      </c>
      <c r="B15" s="38" t="str">
        <f>IF(Info!B15="Atlar şu ýeri","",Info!B15)</f>
        <v>Çaryýew Kemal</v>
      </c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20"/>
      <c r="AB15" s="21" t="str">
        <f t="shared" si="1"/>
        <v/>
      </c>
      <c r="AC15" s="22" t="str">
        <f t="shared" si="2"/>
        <v/>
      </c>
      <c r="AD15" s="23" t="str">
        <f>IF(AC15="","","   "&amp;INDEX(Results!$W$6:$W$18,MATCH(AC15,Results!$V$6:$V$18,1)))</f>
        <v/>
      </c>
    </row>
    <row r="16" spans="1:30" x14ac:dyDescent="0.2">
      <c r="A16" s="18">
        <f t="shared" ca="1" si="0"/>
        <v>11</v>
      </c>
      <c r="B16" s="38" t="str">
        <f>IF(Info!B16="Atlar şu ýeri","",Info!B16)</f>
        <v>Gurbanow Mekanmyrat</v>
      </c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20"/>
      <c r="AB16" s="21" t="str">
        <f t="shared" si="1"/>
        <v/>
      </c>
      <c r="AC16" s="22" t="str">
        <f t="shared" si="2"/>
        <v/>
      </c>
      <c r="AD16" s="23" t="str">
        <f>IF(AC16="","","   "&amp;INDEX(Results!$W$6:$W$18,MATCH(AC16,Results!$V$6:$V$18,1)))</f>
        <v/>
      </c>
    </row>
    <row r="17" spans="1:30" x14ac:dyDescent="0.2">
      <c r="A17" s="18">
        <f t="shared" ca="1" si="0"/>
        <v>12</v>
      </c>
      <c r="B17" s="38" t="str">
        <f>IF(Info!B17="Atlar şu ýeri","",Info!B17)</f>
        <v>Hojamuhammedow Guwanç</v>
      </c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20"/>
      <c r="AB17" s="21" t="str">
        <f t="shared" si="1"/>
        <v/>
      </c>
      <c r="AC17" s="22" t="str">
        <f t="shared" si="2"/>
        <v/>
      </c>
      <c r="AD17" s="23" t="str">
        <f>IF(AC17="","","   "&amp;INDEX(Results!$W$6:$W$18,MATCH(AC17,Results!$V$6:$V$18,1)))</f>
        <v/>
      </c>
    </row>
    <row r="18" spans="1:30" x14ac:dyDescent="0.2">
      <c r="A18" s="18">
        <f t="shared" ca="1" si="0"/>
        <v>13</v>
      </c>
      <c r="B18" s="38" t="str">
        <f>IF(Info!B18="Atlar şu ýeri","",Info!B18)</f>
        <v xml:space="preserve">Hojamämmedow  </v>
      </c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20"/>
      <c r="AB18" s="21" t="str">
        <f t="shared" si="1"/>
        <v/>
      </c>
      <c r="AC18" s="22" t="str">
        <f t="shared" si="2"/>
        <v/>
      </c>
      <c r="AD18" s="23" t="str">
        <f>IF(AC18="","","   "&amp;INDEX(Results!$W$6:$W$18,MATCH(AC18,Results!$V$6:$V$18,1)))</f>
        <v/>
      </c>
    </row>
    <row r="19" spans="1:30" x14ac:dyDescent="0.2">
      <c r="A19" s="18">
        <f t="shared" ca="1" si="0"/>
        <v>14</v>
      </c>
      <c r="B19" s="38" t="str">
        <f>IF(Info!B19="Atlar şu ýeri","",Info!B19)</f>
        <v>Hanowa Gülälek</v>
      </c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20"/>
      <c r="AB19" s="21" t="str">
        <f t="shared" si="1"/>
        <v/>
      </c>
      <c r="AC19" s="22" t="str">
        <f t="shared" si="2"/>
        <v/>
      </c>
      <c r="AD19" s="23" t="str">
        <f>IF(AC19="","","   "&amp;INDEX(Results!$W$6:$W$18,MATCH(AC19,Results!$V$6:$V$18,1)))</f>
        <v/>
      </c>
    </row>
    <row r="20" spans="1:30" x14ac:dyDescent="0.2">
      <c r="A20" s="18">
        <f t="shared" ca="1" si="0"/>
        <v>15</v>
      </c>
      <c r="B20" s="38" t="str">
        <f>IF(Info!B20="Atlar şu ýeri","",Info!B20)</f>
        <v>Husainow Serdar</v>
      </c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20"/>
      <c r="AB20" s="21" t="str">
        <f t="shared" si="1"/>
        <v/>
      </c>
      <c r="AC20" s="22" t="str">
        <f t="shared" si="2"/>
        <v/>
      </c>
      <c r="AD20" s="23" t="str">
        <f>IF(AC20="","","   "&amp;INDEX(Results!$W$6:$W$18,MATCH(AC20,Results!$V$6:$V$18,1)))</f>
        <v/>
      </c>
    </row>
    <row r="21" spans="1:30" x14ac:dyDescent="0.2">
      <c r="A21" s="18">
        <f t="shared" ca="1" si="0"/>
        <v>16</v>
      </c>
      <c r="B21" s="38" t="str">
        <f>IF(Info!B21="Atlar şu ýeri","",Info!B21)</f>
        <v>Orunowa Täçbibi</v>
      </c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20"/>
      <c r="AB21" s="21" t="str">
        <f t="shared" si="1"/>
        <v/>
      </c>
      <c r="AC21" s="22" t="str">
        <f t="shared" si="2"/>
        <v/>
      </c>
      <c r="AD21" s="23" t="str">
        <f>IF(AC21="","","   "&amp;INDEX(Results!$W$6:$W$18,MATCH(AC21,Results!$V$6:$V$18,1)))</f>
        <v/>
      </c>
    </row>
    <row r="22" spans="1:30" x14ac:dyDescent="0.2">
      <c r="A22" s="18">
        <f t="shared" ca="1" si="0"/>
        <v>17</v>
      </c>
      <c r="B22" s="38" t="str">
        <f>IF(Info!B22="Atlar şu ýeri","",Info!B22)</f>
        <v>Ilýasow Älem</v>
      </c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20"/>
      <c r="AB22" s="21" t="str">
        <f t="shared" si="1"/>
        <v/>
      </c>
      <c r="AC22" s="22" t="str">
        <f t="shared" si="2"/>
        <v/>
      </c>
      <c r="AD22" s="23" t="str">
        <f>IF(AC22="","","   "&amp;INDEX(Results!$W$6:$W$18,MATCH(AC22,Results!$V$6:$V$18,1)))</f>
        <v/>
      </c>
    </row>
    <row r="23" spans="1:30" x14ac:dyDescent="0.2">
      <c r="A23" s="18">
        <f t="shared" ca="1" si="0"/>
        <v>18</v>
      </c>
      <c r="B23" s="38" t="str">
        <f>IF(Info!B23="Atlar şu ýeri","",Info!B23)</f>
        <v>Karabaýew Begli</v>
      </c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20"/>
      <c r="AB23" s="21" t="str">
        <f t="shared" si="1"/>
        <v/>
      </c>
      <c r="AC23" s="22" t="str">
        <f t="shared" si="2"/>
        <v/>
      </c>
      <c r="AD23" s="23" t="str">
        <f>IF(AC23="","","   "&amp;INDEX(Results!$W$6:$W$18,MATCH(AC23,Results!$V$6:$V$18,1)))</f>
        <v/>
      </c>
    </row>
    <row r="24" spans="1:30" x14ac:dyDescent="0.2">
      <c r="A24" s="18">
        <f t="shared" ca="1" si="0"/>
        <v>19</v>
      </c>
      <c r="B24" s="38" t="str">
        <f>IF(Info!B24="Atlar şu ýeri","",Info!B24)</f>
        <v>Kurbanow Wekil</v>
      </c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20"/>
      <c r="AB24" s="21" t="str">
        <f t="shared" si="1"/>
        <v/>
      </c>
      <c r="AC24" s="22" t="str">
        <f t="shared" si="2"/>
        <v/>
      </c>
      <c r="AD24" s="23" t="str">
        <f>IF(AC24="","","   "&amp;INDEX(Results!$W$6:$W$18,MATCH(AC24,Results!$V$6:$V$18,1)))</f>
        <v/>
      </c>
    </row>
    <row r="25" spans="1:30" x14ac:dyDescent="0.2">
      <c r="A25" s="18">
        <f t="shared" ca="1" si="0"/>
        <v>20</v>
      </c>
      <c r="B25" s="38" t="str">
        <f>IF(Info!B25="Atlar şu ýeri","",Info!B25)</f>
        <v>Madraimow Seidjan</v>
      </c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20"/>
      <c r="AB25" s="21" t="str">
        <f t="shared" si="1"/>
        <v/>
      </c>
      <c r="AC25" s="22" t="str">
        <f t="shared" si="2"/>
        <v/>
      </c>
      <c r="AD25" s="23" t="str">
        <f>IF(AC25="","","   "&amp;INDEX(Results!$W$6:$W$18,MATCH(AC25,Results!$V$6:$V$18,1)))</f>
        <v/>
      </c>
    </row>
    <row r="26" spans="1:30" x14ac:dyDescent="0.2">
      <c r="A26" s="18">
        <f t="shared" ca="1" si="0"/>
        <v>21</v>
      </c>
      <c r="B26" s="38" t="str">
        <f>IF(Info!B26="Atlar şu ýeri","",Info!B26)</f>
        <v>Matmuradowa Gulnur</v>
      </c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20"/>
      <c r="AB26" s="21" t="str">
        <f t="shared" si="1"/>
        <v/>
      </c>
      <c r="AC26" s="22" t="str">
        <f t="shared" si="2"/>
        <v/>
      </c>
      <c r="AD26" s="23" t="str">
        <f>IF(AC26="","","   "&amp;INDEX(Results!$W$6:$W$18,MATCH(AC26,Results!$V$6:$V$18,1)))</f>
        <v/>
      </c>
    </row>
    <row r="27" spans="1:30" x14ac:dyDescent="0.2">
      <c r="A27" s="18">
        <f t="shared" ca="1" si="0"/>
        <v>22</v>
      </c>
      <c r="B27" s="38" t="str">
        <f>IF(Info!B27="Atlar şu ýeri","",Info!B27)</f>
        <v>Myradowa Aýjahan</v>
      </c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20"/>
      <c r="AB27" s="21" t="str">
        <f t="shared" si="1"/>
        <v/>
      </c>
      <c r="AC27" s="22" t="str">
        <f t="shared" si="2"/>
        <v/>
      </c>
      <c r="AD27" s="23" t="str">
        <f>IF(AC27="","","   "&amp;INDEX(Results!$W$6:$W$18,MATCH(AC27,Results!$V$6:$V$18,1)))</f>
        <v/>
      </c>
    </row>
    <row r="28" spans="1:30" x14ac:dyDescent="0.2">
      <c r="A28" s="18">
        <f t="shared" ca="1" si="0"/>
        <v>23</v>
      </c>
      <c r="B28" s="38" t="str">
        <f>IF(Info!B28="Atlar şu ýeri","",Info!B28)</f>
        <v>Osmanowa Ýyldyz</v>
      </c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20"/>
      <c r="AB28" s="21" t="str">
        <f t="shared" si="1"/>
        <v/>
      </c>
      <c r="AC28" s="22" t="str">
        <f t="shared" si="2"/>
        <v/>
      </c>
      <c r="AD28" s="23" t="str">
        <f>IF(AC28="","","   "&amp;INDEX(Results!$W$6:$W$18,MATCH(AC28,Results!$V$6:$V$18,1)))</f>
        <v/>
      </c>
    </row>
    <row r="29" spans="1:30" x14ac:dyDescent="0.2">
      <c r="A29" s="18">
        <f t="shared" ca="1" si="0"/>
        <v>24</v>
      </c>
      <c r="B29" s="38" t="str">
        <f>IF(Info!B29="Atlar şu ýeri","",Info!B29)</f>
        <v>Orazowa Aýnur</v>
      </c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20"/>
      <c r="AB29" s="21" t="str">
        <f t="shared" si="1"/>
        <v/>
      </c>
      <c r="AC29" s="22" t="str">
        <f t="shared" si="2"/>
        <v/>
      </c>
      <c r="AD29" s="23" t="str">
        <f>IF(AC29="","","   "&amp;INDEX(Results!$W$6:$W$18,MATCH(AC29,Results!$V$6:$V$18,1)))</f>
        <v/>
      </c>
    </row>
    <row r="30" spans="1:30" x14ac:dyDescent="0.2">
      <c r="A30" s="18">
        <f t="shared" ca="1" si="0"/>
        <v>25</v>
      </c>
      <c r="B30" s="38" t="str">
        <f>IF(Info!B30="Atlar şu ýeri","",Info!B30)</f>
        <v>Orunowa Aýjemal</v>
      </c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20"/>
      <c r="AB30" s="21" t="str">
        <f t="shared" si="1"/>
        <v/>
      </c>
      <c r="AC30" s="22" t="str">
        <f t="shared" si="2"/>
        <v/>
      </c>
      <c r="AD30" s="23" t="str">
        <f>IF(AC30="","","   "&amp;INDEX(Results!$W$6:$W$18,MATCH(AC30,Results!$V$6:$V$18,1)))</f>
        <v/>
      </c>
    </row>
    <row r="31" spans="1:30" x14ac:dyDescent="0.2">
      <c r="A31" s="18">
        <f t="shared" ca="1" si="0"/>
        <v>26</v>
      </c>
      <c r="B31" s="38" t="str">
        <f>IF(Info!B31="Atlar şu ýeri","",Info!B31)</f>
        <v>Öwezow Döwlet</v>
      </c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20"/>
      <c r="AB31" s="21" t="str">
        <f t="shared" si="1"/>
        <v/>
      </c>
      <c r="AC31" s="22" t="str">
        <f t="shared" si="2"/>
        <v/>
      </c>
      <c r="AD31" s="23" t="str">
        <f>IF(AC31="","","   "&amp;INDEX(Results!$W$6:$W$18,MATCH(AC31,Results!$V$6:$V$18,1)))</f>
        <v/>
      </c>
    </row>
    <row r="32" spans="1:30" x14ac:dyDescent="0.2">
      <c r="A32" s="18">
        <f t="shared" ca="1" si="0"/>
        <v>27</v>
      </c>
      <c r="B32" s="38" t="str">
        <f>IF(Info!B32="Atlar şu ýeri","",Info!B32)</f>
        <v>Piriýew Aýhan</v>
      </c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20"/>
      <c r="AB32" s="21" t="str">
        <f t="shared" si="1"/>
        <v/>
      </c>
      <c r="AC32" s="22" t="str">
        <f t="shared" si="2"/>
        <v/>
      </c>
      <c r="AD32" s="23" t="str">
        <f>IF(AC32="","","   "&amp;INDEX(Results!$W$6:$W$18,MATCH(AC32,Results!$V$6:$V$18,1)))</f>
        <v/>
      </c>
    </row>
    <row r="33" spans="1:30" x14ac:dyDescent="0.2">
      <c r="A33" s="18">
        <f t="shared" ca="1" si="0"/>
        <v>28</v>
      </c>
      <c r="B33" s="38" t="str">
        <f>IF(Info!B33="Atlar şu ýeri","",Info!B33)</f>
        <v>Taganow Sanjar</v>
      </c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20"/>
      <c r="AB33" s="21" t="str">
        <f t="shared" si="1"/>
        <v/>
      </c>
      <c r="AC33" s="22" t="str">
        <f t="shared" si="2"/>
        <v/>
      </c>
      <c r="AD33" s="23" t="str">
        <f>IF(AC33="","","   "&amp;INDEX(Results!$W$6:$W$18,MATCH(AC33,Results!$V$6:$V$18,1)))</f>
        <v/>
      </c>
    </row>
    <row r="34" spans="1:30" x14ac:dyDescent="0.2">
      <c r="A34" s="18">
        <f t="shared" ca="1" si="0"/>
        <v>29</v>
      </c>
      <c r="B34" s="38" t="str">
        <f>IF(Info!B40="Atlar şu ýeri","",Info!B40)</f>
        <v/>
      </c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20"/>
      <c r="AB34" s="21"/>
      <c r="AC34" s="22"/>
      <c r="AD34" s="23"/>
    </row>
    <row r="35" spans="1:30" x14ac:dyDescent="0.2">
      <c r="A35" s="18">
        <f t="shared" ca="1" si="0"/>
        <v>30</v>
      </c>
      <c r="B35" s="38" t="str">
        <f>IF(Info!B35="Atlar şu ýeri","",Info!B35)</f>
        <v>Ýagşybaýew Muhammet</v>
      </c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20"/>
      <c r="AB35" s="21"/>
      <c r="AC35" s="22"/>
      <c r="AD35" s="23"/>
    </row>
    <row r="36" spans="1:30" ht="6.75" customHeight="1" x14ac:dyDescent="0.2">
      <c r="A36" s="18">
        <f t="shared" ca="1" si="0"/>
        <v>31</v>
      </c>
      <c r="B36" s="38" t="str">
        <f>IF(Info!B36="Atlar şu ýeri","",Info!B36)</f>
        <v>Ýazberdiýewa Söýli</v>
      </c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20"/>
      <c r="AB36" s="21"/>
      <c r="AC36" s="22"/>
      <c r="AD36" s="23"/>
    </row>
    <row r="37" spans="1:30" x14ac:dyDescent="0.2">
      <c r="A37" s="18">
        <f t="shared" ca="1" si="0"/>
        <v>32</v>
      </c>
      <c r="B37" s="38" t="str">
        <f>IF(Info!B37="Atlar şu ýeri","",Info!B37)</f>
        <v>Ýazyýewa Meňli</v>
      </c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20"/>
      <c r="AB37" s="21"/>
      <c r="AC37" s="22"/>
      <c r="AD37" s="23"/>
    </row>
    <row r="38" spans="1:30" x14ac:dyDescent="0.2">
      <c r="A38" s="18">
        <f t="shared" ca="1" si="0"/>
        <v>33</v>
      </c>
      <c r="B38" s="38" t="str">
        <f>IF(Info!B38="Atlar şu ýeri","",Info!B38)</f>
        <v>Ýunusow Ýunus</v>
      </c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20"/>
      <c r="AB38" s="21"/>
      <c r="AC38" s="22"/>
      <c r="AD38" s="23"/>
    </row>
    <row r="39" spans="1:30" x14ac:dyDescent="0.2">
      <c r="A39" s="18">
        <f t="shared" ca="1" si="0"/>
        <v>34</v>
      </c>
      <c r="B39" s="38" t="str">
        <f>IF(Info!B39="Atlar şu ýeri","",Info!B39)</f>
        <v>Ýusupowa  Jahan</v>
      </c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20"/>
      <c r="AB39" s="21"/>
      <c r="AC39" s="22"/>
      <c r="AD39" s="23"/>
    </row>
    <row r="40" spans="1:30" x14ac:dyDescent="0.2">
      <c r="A40" s="18">
        <f t="shared" ca="1" si="0"/>
        <v>35</v>
      </c>
      <c r="B40" s="38" t="str">
        <f>IF(Info!B40="Atlar şu ýeri","",Info!B40)</f>
        <v/>
      </c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20"/>
      <c r="AB40" s="21"/>
      <c r="AC40" s="22"/>
      <c r="AD40" s="23"/>
    </row>
    <row r="41" spans="1:30" x14ac:dyDescent="0.2">
      <c r="A41" s="18">
        <f t="shared" ca="1" si="0"/>
        <v>36</v>
      </c>
      <c r="B41" s="38" t="str">
        <f>IF(Info!B41="Atlar şu ýeri","",Info!B41)</f>
        <v/>
      </c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20"/>
      <c r="AB41" s="21"/>
      <c r="AC41" s="22"/>
      <c r="AD41" s="23"/>
    </row>
    <row r="42" spans="1:30" x14ac:dyDescent="0.2">
      <c r="A42" s="18">
        <f t="shared" ca="1" si="0"/>
        <v>37</v>
      </c>
      <c r="B42" s="38" t="str">
        <f>IF(Info!B42="Atlar şu ýeri","",Info!B42)</f>
        <v/>
      </c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20"/>
      <c r="AB42" s="21"/>
      <c r="AC42" s="22"/>
      <c r="AD42" s="23"/>
    </row>
    <row r="43" spans="1:30" x14ac:dyDescent="0.2">
      <c r="A43" s="18">
        <f t="shared" ca="1" si="0"/>
        <v>38</v>
      </c>
      <c r="B43" s="38" t="str">
        <f>IF(Info!B43="Atlar şu ýeri","",Info!B43)</f>
        <v/>
      </c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20"/>
      <c r="AB43" s="21"/>
      <c r="AC43" s="22"/>
      <c r="AD43" s="23"/>
    </row>
  </sheetData>
  <mergeCells count="4">
    <mergeCell ref="AB3:AB4"/>
    <mergeCell ref="AC3:AC4"/>
    <mergeCell ref="AD3:AD4"/>
    <mergeCell ref="C1:T1"/>
  </mergeCell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1:AF49"/>
  <sheetViews>
    <sheetView workbookViewId="0">
      <selection sqref="A1:CZ50"/>
    </sheetView>
  </sheetViews>
  <sheetFormatPr defaultRowHeight="12.75" x14ac:dyDescent="0.2"/>
  <cols>
    <col min="1" max="1" width="3.7109375" style="1" customWidth="1"/>
    <col min="2" max="2" width="37.42578125" style="1" bestFit="1" customWidth="1"/>
    <col min="3" max="3" width="9" style="1" bestFit="1" customWidth="1"/>
    <col min="4" max="16" width="9" style="1" customWidth="1"/>
    <col min="17" max="18" width="7.140625" style="1" customWidth="1"/>
    <col min="19" max="19" width="7.85546875" style="1" bestFit="1" customWidth="1"/>
    <col min="20" max="26" width="7.140625" style="1" customWidth="1"/>
    <col min="27" max="27" width="1.42578125" style="1" customWidth="1"/>
    <col min="28" max="28" width="7.5703125" style="1" customWidth="1"/>
    <col min="29" max="29" width="10.5703125" style="1" bestFit="1" customWidth="1"/>
    <col min="30" max="30" width="6.85546875" style="1" customWidth="1"/>
    <col min="31" max="31" width="5.28515625" style="1" customWidth="1"/>
    <col min="32" max="32" width="16.7109375" style="1" customWidth="1"/>
    <col min="33" max="16384" width="9.140625" style="1"/>
  </cols>
  <sheetData>
    <row r="1" spans="1:30" ht="19.5" x14ac:dyDescent="0.3">
      <c r="A1" s="2"/>
      <c r="B1" s="3" t="s">
        <v>56</v>
      </c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87"/>
      <c r="V1" s="87"/>
      <c r="W1" s="4"/>
      <c r="X1" s="4"/>
      <c r="Y1" s="4"/>
      <c r="Z1" s="4"/>
      <c r="AA1" s="4"/>
      <c r="AB1" s="4"/>
      <c r="AC1" s="6"/>
      <c r="AD1" s="6"/>
    </row>
    <row r="2" spans="1:30" ht="15" x14ac:dyDescent="0.25">
      <c r="A2" s="2"/>
      <c r="B2" s="7" t="s">
        <v>122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10"/>
    </row>
    <row r="3" spans="1:30" ht="42" customHeight="1" x14ac:dyDescent="0.25">
      <c r="A3" s="11"/>
      <c r="B3" s="12" t="s">
        <v>14</v>
      </c>
      <c r="C3" s="13" t="s">
        <v>15</v>
      </c>
      <c r="D3" s="13" t="s">
        <v>16</v>
      </c>
      <c r="E3" s="13" t="s">
        <v>17</v>
      </c>
      <c r="F3" s="13" t="s">
        <v>18</v>
      </c>
      <c r="G3" s="13" t="s">
        <v>19</v>
      </c>
      <c r="H3" s="13" t="s">
        <v>20</v>
      </c>
      <c r="I3" s="13" t="s">
        <v>21</v>
      </c>
      <c r="J3" s="13" t="s">
        <v>22</v>
      </c>
      <c r="K3" s="13" t="s">
        <v>23</v>
      </c>
      <c r="L3" s="13" t="s">
        <v>24</v>
      </c>
      <c r="M3" s="13" t="s">
        <v>25</v>
      </c>
      <c r="N3" s="13" t="s">
        <v>26</v>
      </c>
      <c r="O3" s="13" t="s">
        <v>27</v>
      </c>
      <c r="P3" s="13" t="s">
        <v>28</v>
      </c>
      <c r="Q3" s="13" t="s">
        <v>46</v>
      </c>
      <c r="R3" s="13" t="s">
        <v>47</v>
      </c>
      <c r="S3" s="13" t="s">
        <v>48</v>
      </c>
      <c r="T3" s="13" t="s">
        <v>49</v>
      </c>
      <c r="U3" s="13" t="s">
        <v>50</v>
      </c>
      <c r="V3" s="13" t="s">
        <v>51</v>
      </c>
      <c r="W3" s="13" t="s">
        <v>52</v>
      </c>
      <c r="X3" s="13" t="s">
        <v>53</v>
      </c>
      <c r="Y3" s="13" t="s">
        <v>54</v>
      </c>
      <c r="Z3" s="13" t="s">
        <v>55</v>
      </c>
      <c r="AA3" s="14"/>
      <c r="AB3" s="97" t="s">
        <v>29</v>
      </c>
      <c r="AC3" s="98" t="s">
        <v>36</v>
      </c>
      <c r="AD3" s="99" t="s">
        <v>35</v>
      </c>
    </row>
    <row r="4" spans="1:30" x14ac:dyDescent="0.2">
      <c r="A4" s="11"/>
      <c r="B4" s="15" t="s">
        <v>30</v>
      </c>
      <c r="C4" s="16">
        <v>5</v>
      </c>
      <c r="D4" s="16">
        <v>5</v>
      </c>
      <c r="E4" s="16">
        <v>5</v>
      </c>
      <c r="F4" s="16">
        <v>5</v>
      </c>
      <c r="G4" s="16">
        <v>5</v>
      </c>
      <c r="H4" s="16">
        <v>5</v>
      </c>
      <c r="I4" s="16">
        <v>5</v>
      </c>
      <c r="J4" s="16">
        <v>5</v>
      </c>
      <c r="K4" s="16">
        <v>5</v>
      </c>
      <c r="L4" s="16">
        <v>5</v>
      </c>
      <c r="M4" s="16">
        <v>5</v>
      </c>
      <c r="N4" s="16">
        <v>5</v>
      </c>
      <c r="O4" s="16">
        <v>5</v>
      </c>
      <c r="P4" s="16">
        <v>5</v>
      </c>
      <c r="Q4" s="16">
        <v>5</v>
      </c>
      <c r="R4" s="16">
        <v>5</v>
      </c>
      <c r="S4" s="16">
        <v>5</v>
      </c>
      <c r="T4" s="16">
        <v>5</v>
      </c>
      <c r="U4" s="16">
        <v>5</v>
      </c>
      <c r="V4" s="16">
        <v>5</v>
      </c>
      <c r="W4" s="16">
        <v>5</v>
      </c>
      <c r="X4" s="16">
        <v>5</v>
      </c>
      <c r="Y4" s="16">
        <v>5</v>
      </c>
      <c r="Z4" s="16">
        <v>5</v>
      </c>
      <c r="AA4" s="17"/>
      <c r="AB4" s="97"/>
      <c r="AC4" s="97"/>
      <c r="AD4" s="97"/>
    </row>
    <row r="5" spans="1:30" ht="6" customHeight="1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18">
        <f t="shared" ref="A6:A45" ca="1" si="0">OFFSET(A6,-1,0,1,1)+1</f>
        <v>1</v>
      </c>
      <c r="B6" s="38" t="str">
        <f>IF(Info!B6="Atlar şu ýeri","",Info!B6)</f>
        <v>Abdullaýewa Dinara</v>
      </c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20"/>
      <c r="AB6" s="21" t="str">
        <f>IF(SUM(C6:Z6)=0,"",SUMPRODUCT(C6:Z6))</f>
        <v/>
      </c>
      <c r="AC6" s="22" t="str">
        <f>IF(SUM(C6:Z6)=0,"",AB6/(SUMIF(C6:Z6,"&lt;&gt;",$C$4:$Z$4)-SUMIF(C6:Z6,"=E",$C$4:$Z$4)))</f>
        <v/>
      </c>
      <c r="AD6" s="23" t="str">
        <f>IF(AC6="","","   "&amp;INDEX(Results!$W$6:$W$18,MATCH(AC6,Results!$V$6:$V$18,1)))</f>
        <v/>
      </c>
    </row>
    <row r="7" spans="1:30" x14ac:dyDescent="0.2">
      <c r="A7" s="18">
        <f t="shared" ca="1" si="0"/>
        <v>2</v>
      </c>
      <c r="B7" s="38" t="str">
        <f>IF(Info!B7="Atlar şu ýeri","",Info!B7)</f>
        <v>Arslanow Yhlas</v>
      </c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20"/>
      <c r="AB7" s="21" t="str">
        <f t="shared" ref="AB7:AB45" si="1">IF(SUM(C7:Z7)=0,"",SUMPRODUCT(C7:Z7))</f>
        <v/>
      </c>
      <c r="AC7" s="22" t="str">
        <f t="shared" ref="AC7:AC45" si="2">IF(SUM(C7:Z7)=0,"",AB7/(SUMIF(C7:Z7,"&lt;&gt;",$C$4:$Z$4)-SUMIF(C7:Z7,"=E",$C$4:$Z$4)))</f>
        <v/>
      </c>
      <c r="AD7" s="23" t="str">
        <f>IF(AC7="","","   "&amp;INDEX(Results!$W$6:$W$18,MATCH(AC7,Results!$V$6:$V$18,1)))</f>
        <v/>
      </c>
    </row>
    <row r="8" spans="1:30" x14ac:dyDescent="0.2">
      <c r="A8" s="18">
        <f t="shared" ca="1" si="0"/>
        <v>3</v>
      </c>
      <c r="B8" s="38" t="str">
        <f>IF(Info!B8="Atlar şu ýeri","",Info!B8)</f>
        <v>Aşyrowa Maýsa</v>
      </c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20"/>
      <c r="AB8" s="21" t="str">
        <f t="shared" si="1"/>
        <v/>
      </c>
      <c r="AC8" s="22" t="str">
        <f t="shared" si="2"/>
        <v/>
      </c>
      <c r="AD8" s="23" t="str">
        <f>IF(AC8="","","   "&amp;INDEX(Results!$W$6:$W$18,MATCH(AC8,Results!$V$6:$V$18,1)))</f>
        <v/>
      </c>
    </row>
    <row r="9" spans="1:30" x14ac:dyDescent="0.2">
      <c r="A9" s="18">
        <f t="shared" ca="1" si="0"/>
        <v>4</v>
      </c>
      <c r="B9" s="38" t="str">
        <f>IF(Info!B9="Atlar şu ýeri","",Info!B9)</f>
        <v>Atabaýewa Ogulaý</v>
      </c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20"/>
      <c r="AB9" s="21" t="str">
        <f t="shared" si="1"/>
        <v/>
      </c>
      <c r="AC9" s="22" t="str">
        <f t="shared" si="2"/>
        <v/>
      </c>
      <c r="AD9" s="23" t="str">
        <f>IF(AC9="","","   "&amp;INDEX(Results!$W$6:$W$18,MATCH(AC9,Results!$V$6:$V$18,1)))</f>
        <v/>
      </c>
    </row>
    <row r="10" spans="1:30" x14ac:dyDescent="0.2">
      <c r="A10" s="18">
        <f t="shared" ca="1" si="0"/>
        <v>5</v>
      </c>
      <c r="B10" s="38" t="str">
        <f>IF(Info!B10="Atlar şu ýeri","",Info!B10)</f>
        <v>Atanazarow Meýlis</v>
      </c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20"/>
      <c r="AB10" s="21" t="str">
        <f t="shared" si="1"/>
        <v/>
      </c>
      <c r="AC10" s="22" t="str">
        <f t="shared" si="2"/>
        <v/>
      </c>
      <c r="AD10" s="23" t="str">
        <f>IF(AC10="","","   "&amp;INDEX(Results!$W$6:$W$18,MATCH(AC10,Results!$V$6:$V$18,1)))</f>
        <v/>
      </c>
    </row>
    <row r="11" spans="1:30" x14ac:dyDescent="0.2">
      <c r="A11" s="18">
        <f t="shared" ca="1" si="0"/>
        <v>6</v>
      </c>
      <c r="B11" s="38" t="str">
        <f>IF(Info!B11="Atlar şu ýeri","",Info!B11)</f>
        <v>Babajanowa Aýlar</v>
      </c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20"/>
      <c r="AB11" s="21" t="str">
        <f t="shared" si="1"/>
        <v/>
      </c>
      <c r="AC11" s="22" t="str">
        <f t="shared" si="2"/>
        <v/>
      </c>
      <c r="AD11" s="23" t="str">
        <f>IF(AC11="","","   "&amp;INDEX(Results!$W$6:$W$18,MATCH(AC11,Results!$V$6:$V$18,1)))</f>
        <v/>
      </c>
    </row>
    <row r="12" spans="1:30" x14ac:dyDescent="0.2">
      <c r="A12" s="18">
        <f t="shared" ca="1" si="0"/>
        <v>7</v>
      </c>
      <c r="B12" s="38" t="str">
        <f>IF(Info!B12="Atlar şu ýeri","",Info!B12)</f>
        <v>Babajanowa Selbi</v>
      </c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20"/>
      <c r="AB12" s="21" t="str">
        <f t="shared" si="1"/>
        <v/>
      </c>
      <c r="AC12" s="22" t="str">
        <f t="shared" si="2"/>
        <v/>
      </c>
      <c r="AD12" s="23" t="str">
        <f>IF(AC12="","","   "&amp;INDEX(Results!$W$6:$W$18,MATCH(AC12,Results!$V$6:$V$18,1)))</f>
        <v/>
      </c>
    </row>
    <row r="13" spans="1:30" x14ac:dyDescent="0.2">
      <c r="A13" s="18">
        <f t="shared" ca="1" si="0"/>
        <v>8</v>
      </c>
      <c r="B13" s="38" t="str">
        <f>IF(Info!B13="Atlar şu ýeri","",Info!B13)</f>
        <v>Ataýew Nurgeldi</v>
      </c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20"/>
      <c r="AB13" s="21" t="str">
        <f t="shared" si="1"/>
        <v/>
      </c>
      <c r="AC13" s="22" t="str">
        <f t="shared" si="2"/>
        <v/>
      </c>
      <c r="AD13" s="23" t="str">
        <f>IF(AC13="","","   "&amp;INDEX(Results!$W$6:$W$18,MATCH(AC13,Results!$V$6:$V$18,1)))</f>
        <v/>
      </c>
    </row>
    <row r="14" spans="1:30" x14ac:dyDescent="0.2">
      <c r="A14" s="18">
        <f t="shared" ca="1" si="0"/>
        <v>9</v>
      </c>
      <c r="B14" s="38" t="str">
        <f>IF(Info!B14="Atlar şu ýeri","",Info!B14)</f>
        <v>Batyrow Arafat</v>
      </c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20"/>
      <c r="AB14" s="21" t="str">
        <f t="shared" si="1"/>
        <v/>
      </c>
      <c r="AC14" s="22" t="str">
        <f t="shared" si="2"/>
        <v/>
      </c>
      <c r="AD14" s="23" t="str">
        <f>IF(AC14="","","   "&amp;INDEX(Results!$W$6:$W$18,MATCH(AC14,Results!$V$6:$V$18,1)))</f>
        <v/>
      </c>
    </row>
    <row r="15" spans="1:30" x14ac:dyDescent="0.2">
      <c r="A15" s="18">
        <f t="shared" ca="1" si="0"/>
        <v>10</v>
      </c>
      <c r="B15" s="38" t="str">
        <f>IF(Info!B15="Atlar şu ýeri","",Info!B15)</f>
        <v>Çaryýew Kemal</v>
      </c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20"/>
      <c r="AB15" s="21" t="str">
        <f t="shared" si="1"/>
        <v/>
      </c>
      <c r="AC15" s="22" t="str">
        <f t="shared" si="2"/>
        <v/>
      </c>
      <c r="AD15" s="23" t="str">
        <f>IF(AC15="","","   "&amp;INDEX(Results!$W$6:$W$18,MATCH(AC15,Results!$V$6:$V$18,1)))</f>
        <v/>
      </c>
    </row>
    <row r="16" spans="1:30" x14ac:dyDescent="0.2">
      <c r="A16" s="18">
        <f t="shared" ca="1" si="0"/>
        <v>11</v>
      </c>
      <c r="B16" s="38" t="str">
        <f>IF(Info!B16="Atlar şu ýeri","",Info!B16)</f>
        <v>Gurbanow Mekanmyrat</v>
      </c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20"/>
      <c r="AB16" s="21" t="str">
        <f t="shared" si="1"/>
        <v/>
      </c>
      <c r="AC16" s="22" t="str">
        <f t="shared" si="2"/>
        <v/>
      </c>
      <c r="AD16" s="23" t="str">
        <f>IF(AC16="","","   "&amp;INDEX(Results!$W$6:$W$18,MATCH(AC16,Results!$V$6:$V$18,1)))</f>
        <v/>
      </c>
    </row>
    <row r="17" spans="1:30" x14ac:dyDescent="0.2">
      <c r="A17" s="18">
        <f t="shared" ca="1" si="0"/>
        <v>12</v>
      </c>
      <c r="B17" s="38" t="str">
        <f>IF(Info!B17="Atlar şu ýeri","",Info!B17)</f>
        <v>Hojamuhammedow Guwanç</v>
      </c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20"/>
      <c r="AB17" s="21" t="str">
        <f t="shared" si="1"/>
        <v/>
      </c>
      <c r="AC17" s="22" t="str">
        <f t="shared" si="2"/>
        <v/>
      </c>
      <c r="AD17" s="23" t="str">
        <f>IF(AC17="","","   "&amp;INDEX(Results!$W$6:$W$18,MATCH(AC17,Results!$V$6:$V$18,1)))</f>
        <v/>
      </c>
    </row>
    <row r="18" spans="1:30" x14ac:dyDescent="0.2">
      <c r="A18" s="18">
        <f t="shared" ca="1" si="0"/>
        <v>13</v>
      </c>
      <c r="B18" s="38" t="str">
        <f>IF(Info!B18="Atlar şu ýeri","",Info!B18)</f>
        <v xml:space="preserve">Hojamämmedow  </v>
      </c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20"/>
      <c r="AB18" s="21" t="str">
        <f t="shared" si="1"/>
        <v/>
      </c>
      <c r="AC18" s="22" t="str">
        <f t="shared" si="2"/>
        <v/>
      </c>
      <c r="AD18" s="23" t="str">
        <f>IF(AC18="","","   "&amp;INDEX(Results!$W$6:$W$18,MATCH(AC18,Results!$V$6:$V$18,1)))</f>
        <v/>
      </c>
    </row>
    <row r="19" spans="1:30" x14ac:dyDescent="0.2">
      <c r="A19" s="18">
        <f t="shared" ca="1" si="0"/>
        <v>14</v>
      </c>
      <c r="B19" s="38" t="str">
        <f>IF(Info!B19="Atlar şu ýeri","",Info!B19)</f>
        <v>Hanowa Gülälek</v>
      </c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20"/>
      <c r="AB19" s="21" t="str">
        <f t="shared" si="1"/>
        <v/>
      </c>
      <c r="AC19" s="22" t="str">
        <f t="shared" si="2"/>
        <v/>
      </c>
      <c r="AD19" s="23" t="str">
        <f>IF(AC19="","","   "&amp;INDEX(Results!$W$6:$W$18,MATCH(AC19,Results!$V$6:$V$18,1)))</f>
        <v/>
      </c>
    </row>
    <row r="20" spans="1:30" x14ac:dyDescent="0.2">
      <c r="A20" s="18">
        <f t="shared" ca="1" si="0"/>
        <v>15</v>
      </c>
      <c r="B20" s="38" t="str">
        <f>IF(Info!B20="Atlar şu ýeri","",Info!B20)</f>
        <v>Husainow Serdar</v>
      </c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20"/>
      <c r="AB20" s="21" t="str">
        <f t="shared" si="1"/>
        <v/>
      </c>
      <c r="AC20" s="22" t="str">
        <f t="shared" si="2"/>
        <v/>
      </c>
      <c r="AD20" s="23" t="str">
        <f>IF(AC20="","","   "&amp;INDEX(Results!$W$6:$W$18,MATCH(AC20,Results!$V$6:$V$18,1)))</f>
        <v/>
      </c>
    </row>
    <row r="21" spans="1:30" x14ac:dyDescent="0.2">
      <c r="A21" s="18">
        <f t="shared" ca="1" si="0"/>
        <v>16</v>
      </c>
      <c r="B21" s="38" t="str">
        <f>IF(Info!B21="Atlar şu ýeri","",Info!B21)</f>
        <v>Orunowa Täçbibi</v>
      </c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20"/>
      <c r="AB21" s="21" t="str">
        <f t="shared" si="1"/>
        <v/>
      </c>
      <c r="AC21" s="22" t="str">
        <f t="shared" si="2"/>
        <v/>
      </c>
      <c r="AD21" s="23" t="str">
        <f>IF(AC21="","","   "&amp;INDEX(Results!$W$6:$W$18,MATCH(AC21,Results!$V$6:$V$18,1)))</f>
        <v/>
      </c>
    </row>
    <row r="22" spans="1:30" x14ac:dyDescent="0.2">
      <c r="A22" s="18">
        <f t="shared" ca="1" si="0"/>
        <v>17</v>
      </c>
      <c r="B22" s="38" t="str">
        <f>IF(Info!B22="Atlar şu ýeri","",Info!B22)</f>
        <v>Ilýasow Älem</v>
      </c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20"/>
      <c r="AB22" s="21" t="str">
        <f t="shared" si="1"/>
        <v/>
      </c>
      <c r="AC22" s="22" t="str">
        <f t="shared" si="2"/>
        <v/>
      </c>
      <c r="AD22" s="23" t="str">
        <f>IF(AC22="","","   "&amp;INDEX(Results!$W$6:$W$18,MATCH(AC22,Results!$V$6:$V$18,1)))</f>
        <v/>
      </c>
    </row>
    <row r="23" spans="1:30" x14ac:dyDescent="0.2">
      <c r="A23" s="18">
        <f t="shared" ca="1" si="0"/>
        <v>18</v>
      </c>
      <c r="B23" s="38" t="str">
        <f>IF(Info!B23="Atlar şu ýeri","",Info!B23)</f>
        <v>Karabaýew Begli</v>
      </c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20"/>
      <c r="AB23" s="21" t="str">
        <f t="shared" si="1"/>
        <v/>
      </c>
      <c r="AC23" s="22" t="str">
        <f t="shared" si="2"/>
        <v/>
      </c>
      <c r="AD23" s="23" t="str">
        <f>IF(AC23="","","   "&amp;INDEX(Results!$W$6:$W$18,MATCH(AC23,Results!$V$6:$V$18,1)))</f>
        <v/>
      </c>
    </row>
    <row r="24" spans="1:30" x14ac:dyDescent="0.2">
      <c r="A24" s="18">
        <f t="shared" ca="1" si="0"/>
        <v>19</v>
      </c>
      <c r="B24" s="38" t="str">
        <f>IF(Info!B24="Atlar şu ýeri","",Info!B24)</f>
        <v>Kurbanow Wekil</v>
      </c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20"/>
      <c r="AB24" s="21" t="str">
        <f t="shared" si="1"/>
        <v/>
      </c>
      <c r="AC24" s="22" t="str">
        <f t="shared" si="2"/>
        <v/>
      </c>
      <c r="AD24" s="23" t="str">
        <f>IF(AC24="","","   "&amp;INDEX(Results!$W$6:$W$18,MATCH(AC24,Results!$V$6:$V$18,1)))</f>
        <v/>
      </c>
    </row>
    <row r="25" spans="1:30" x14ac:dyDescent="0.2">
      <c r="A25" s="18">
        <f t="shared" ca="1" si="0"/>
        <v>20</v>
      </c>
      <c r="B25" s="38" t="str">
        <f>IF(Info!B25="Atlar şu ýeri","",Info!B25)</f>
        <v>Madraimow Seidjan</v>
      </c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20"/>
      <c r="AB25" s="21" t="str">
        <f t="shared" si="1"/>
        <v/>
      </c>
      <c r="AC25" s="22" t="str">
        <f t="shared" si="2"/>
        <v/>
      </c>
      <c r="AD25" s="23" t="str">
        <f>IF(AC25="","","   "&amp;INDEX(Results!$W$6:$W$18,MATCH(AC25,Results!$V$6:$V$18,1)))</f>
        <v/>
      </c>
    </row>
    <row r="26" spans="1:30" x14ac:dyDescent="0.2">
      <c r="A26" s="18">
        <f t="shared" ca="1" si="0"/>
        <v>21</v>
      </c>
      <c r="B26" s="38" t="str">
        <f>IF(Info!B26="Atlar şu ýeri","",Info!B26)</f>
        <v>Matmuradowa Gulnur</v>
      </c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20"/>
      <c r="AB26" s="21" t="str">
        <f t="shared" si="1"/>
        <v/>
      </c>
      <c r="AC26" s="22" t="str">
        <f t="shared" si="2"/>
        <v/>
      </c>
      <c r="AD26" s="23" t="str">
        <f>IF(AC26="","","   "&amp;INDEX(Results!$W$6:$W$18,MATCH(AC26,Results!$V$6:$V$18,1)))</f>
        <v/>
      </c>
    </row>
    <row r="27" spans="1:30" x14ac:dyDescent="0.2">
      <c r="A27" s="18">
        <f t="shared" ca="1" si="0"/>
        <v>22</v>
      </c>
      <c r="B27" s="38" t="str">
        <f>IF(Info!B27="Atlar şu ýeri","",Info!B27)</f>
        <v>Myradowa Aýjahan</v>
      </c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20"/>
      <c r="AB27" s="21" t="str">
        <f t="shared" si="1"/>
        <v/>
      </c>
      <c r="AC27" s="22" t="str">
        <f t="shared" si="2"/>
        <v/>
      </c>
      <c r="AD27" s="23" t="str">
        <f>IF(AC27="","","   "&amp;INDEX(Results!$W$6:$W$18,MATCH(AC27,Results!$V$6:$V$18,1)))</f>
        <v/>
      </c>
    </row>
    <row r="28" spans="1:30" x14ac:dyDescent="0.2">
      <c r="A28" s="18">
        <f t="shared" ca="1" si="0"/>
        <v>23</v>
      </c>
      <c r="B28" s="38" t="str">
        <f>IF(Info!B28="Atlar şu ýeri","",Info!B28)</f>
        <v>Osmanowa Ýyldyz</v>
      </c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20"/>
      <c r="AB28" s="21" t="str">
        <f t="shared" si="1"/>
        <v/>
      </c>
      <c r="AC28" s="22" t="str">
        <f t="shared" si="2"/>
        <v/>
      </c>
      <c r="AD28" s="23" t="str">
        <f>IF(AC28="","","   "&amp;INDEX(Results!$W$6:$W$18,MATCH(AC28,Results!$V$6:$V$18,1)))</f>
        <v/>
      </c>
    </row>
    <row r="29" spans="1:30" x14ac:dyDescent="0.2">
      <c r="A29" s="18">
        <f t="shared" ca="1" si="0"/>
        <v>24</v>
      </c>
      <c r="B29" s="38" t="str">
        <f>IF(Info!B29="Atlar şu ýeri","",Info!B29)</f>
        <v>Orazowa Aýnur</v>
      </c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20"/>
      <c r="AB29" s="21" t="str">
        <f t="shared" si="1"/>
        <v/>
      </c>
      <c r="AC29" s="22" t="str">
        <f t="shared" si="2"/>
        <v/>
      </c>
      <c r="AD29" s="23" t="str">
        <f>IF(AC29="","","   "&amp;INDEX(Results!$W$6:$W$18,MATCH(AC29,Results!$V$6:$V$18,1)))</f>
        <v/>
      </c>
    </row>
    <row r="30" spans="1:30" x14ac:dyDescent="0.2">
      <c r="A30" s="18">
        <f t="shared" ca="1" si="0"/>
        <v>25</v>
      </c>
      <c r="B30" s="38" t="str">
        <f>IF(Info!B30="Atlar şu ýeri","",Info!B30)</f>
        <v>Orunowa Aýjemal</v>
      </c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20"/>
      <c r="AB30" s="21" t="str">
        <f t="shared" si="1"/>
        <v/>
      </c>
      <c r="AC30" s="22" t="str">
        <f t="shared" si="2"/>
        <v/>
      </c>
      <c r="AD30" s="23" t="str">
        <f>IF(AC30="","","   "&amp;INDEX(Results!$W$6:$W$18,MATCH(AC30,Results!$V$6:$V$18,1)))</f>
        <v/>
      </c>
    </row>
    <row r="31" spans="1:30" x14ac:dyDescent="0.2">
      <c r="A31" s="18">
        <f t="shared" ca="1" si="0"/>
        <v>26</v>
      </c>
      <c r="B31" s="38" t="str">
        <f>IF(Info!B31="Atlar şu ýeri","",Info!B31)</f>
        <v>Öwezow Döwlet</v>
      </c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20"/>
      <c r="AB31" s="21" t="str">
        <f t="shared" si="1"/>
        <v/>
      </c>
      <c r="AC31" s="22" t="str">
        <f t="shared" si="2"/>
        <v/>
      </c>
      <c r="AD31" s="23" t="str">
        <f>IF(AC31="","","   "&amp;INDEX(Results!$W$6:$W$18,MATCH(AC31,Results!$V$6:$V$18,1)))</f>
        <v/>
      </c>
    </row>
    <row r="32" spans="1:30" x14ac:dyDescent="0.2">
      <c r="A32" s="18">
        <f t="shared" ca="1" si="0"/>
        <v>27</v>
      </c>
      <c r="B32" s="38" t="str">
        <f>IF(Info!B32="Atlar şu ýeri","",Info!B32)</f>
        <v>Piriýew Aýhan</v>
      </c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20"/>
      <c r="AB32" s="21" t="str">
        <f t="shared" si="1"/>
        <v/>
      </c>
      <c r="AC32" s="22" t="str">
        <f t="shared" si="2"/>
        <v/>
      </c>
      <c r="AD32" s="23" t="str">
        <f>IF(AC32="","","   "&amp;INDEX(Results!$W$6:$W$18,MATCH(AC32,Results!$V$6:$V$18,1)))</f>
        <v/>
      </c>
    </row>
    <row r="33" spans="1:32" x14ac:dyDescent="0.2">
      <c r="A33" s="18">
        <f t="shared" ca="1" si="0"/>
        <v>28</v>
      </c>
      <c r="B33" s="38" t="str">
        <f>IF(Info!B33="Atlar şu ýeri","",Info!B33)</f>
        <v>Taganow Sanjar</v>
      </c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20"/>
      <c r="AB33" s="21" t="str">
        <f t="shared" si="1"/>
        <v/>
      </c>
      <c r="AC33" s="22" t="str">
        <f t="shared" si="2"/>
        <v/>
      </c>
      <c r="AD33" s="23" t="str">
        <f>IF(AC33="","","   "&amp;INDEX(Results!$W$6:$W$18,MATCH(AC33,Results!$V$6:$V$18,1)))</f>
        <v/>
      </c>
    </row>
    <row r="34" spans="1:32" x14ac:dyDescent="0.2">
      <c r="A34" s="18">
        <f t="shared" ca="1" si="0"/>
        <v>29</v>
      </c>
      <c r="B34" s="38" t="str">
        <f>IF(Info!B34="Atlar şu ýeri","",Info!B34)</f>
        <v>Weliýew Öwez</v>
      </c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20"/>
      <c r="AB34" s="21" t="str">
        <f t="shared" si="1"/>
        <v/>
      </c>
      <c r="AC34" s="22" t="str">
        <f t="shared" si="2"/>
        <v/>
      </c>
      <c r="AD34" s="23" t="str">
        <f>IF(AC34="","","   "&amp;INDEX(Results!$W$6:$W$18,MATCH(AC34,Results!$V$6:$V$18,1)))</f>
        <v/>
      </c>
    </row>
    <row r="35" spans="1:32" x14ac:dyDescent="0.2">
      <c r="A35" s="18">
        <f t="shared" ca="1" si="0"/>
        <v>30</v>
      </c>
      <c r="B35" s="38" t="str">
        <f>IF(Info!B35="Atlar şu ýeri","",Info!B35)</f>
        <v>Ýagşybaýew Muhammet</v>
      </c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20"/>
      <c r="AB35" s="21" t="str">
        <f t="shared" si="1"/>
        <v/>
      </c>
      <c r="AC35" s="22" t="str">
        <f t="shared" si="2"/>
        <v/>
      </c>
      <c r="AD35" s="23" t="str">
        <f>IF(AC35="","","   "&amp;INDEX(Results!$W$6:$W$18,MATCH(AC35,Results!$V$6:$V$18,1)))</f>
        <v/>
      </c>
    </row>
    <row r="36" spans="1:32" x14ac:dyDescent="0.2">
      <c r="A36" s="18">
        <f t="shared" ca="1" si="0"/>
        <v>31</v>
      </c>
      <c r="B36" s="38" t="str">
        <f>IF(Info!B36="Atlar şu ýeri","",Info!B36)</f>
        <v>Ýazberdiýewa Söýli</v>
      </c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20"/>
      <c r="AB36" s="21" t="str">
        <f t="shared" si="1"/>
        <v/>
      </c>
      <c r="AC36" s="22" t="str">
        <f t="shared" si="2"/>
        <v/>
      </c>
      <c r="AD36" s="23" t="str">
        <f>IF(AC36="","","   "&amp;INDEX(Results!$W$6:$W$18,MATCH(AC36,Results!$V$6:$V$18,1)))</f>
        <v/>
      </c>
    </row>
    <row r="37" spans="1:32" x14ac:dyDescent="0.2">
      <c r="A37" s="18">
        <f t="shared" ca="1" si="0"/>
        <v>32</v>
      </c>
      <c r="B37" s="38" t="str">
        <f>IF(Info!B37="Atlar şu ýeri","",Info!B37)</f>
        <v>Ýazyýewa Meňli</v>
      </c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20"/>
      <c r="AB37" s="21" t="str">
        <f t="shared" si="1"/>
        <v/>
      </c>
      <c r="AC37" s="22" t="str">
        <f t="shared" si="2"/>
        <v/>
      </c>
      <c r="AD37" s="23" t="str">
        <f>IF(AC37="","","   "&amp;INDEX(Results!$W$6:$W$18,MATCH(AC37,Results!$V$6:$V$18,1)))</f>
        <v/>
      </c>
    </row>
    <row r="38" spans="1:32" x14ac:dyDescent="0.2">
      <c r="A38" s="18">
        <f t="shared" ca="1" si="0"/>
        <v>33</v>
      </c>
      <c r="B38" s="38" t="str">
        <f>IF(Info!B38="Atlar şu ýeri","",Info!B38)</f>
        <v>Ýunusow Ýunus</v>
      </c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20"/>
      <c r="AB38" s="21" t="str">
        <f t="shared" si="1"/>
        <v/>
      </c>
      <c r="AC38" s="22" t="str">
        <f t="shared" si="2"/>
        <v/>
      </c>
      <c r="AD38" s="23" t="str">
        <f>IF(AC38="","","   "&amp;INDEX(Results!$W$6:$W$18,MATCH(AC38,Results!$V$6:$V$18,1)))</f>
        <v/>
      </c>
    </row>
    <row r="39" spans="1:32" x14ac:dyDescent="0.2">
      <c r="A39" s="18">
        <f t="shared" ca="1" si="0"/>
        <v>34</v>
      </c>
      <c r="B39" s="38" t="str">
        <f>IF(Info!B39="Atlar şu ýeri","",Info!B39)</f>
        <v>Ýusupowa  Jahan</v>
      </c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20"/>
      <c r="AB39" s="21" t="str">
        <f t="shared" si="1"/>
        <v/>
      </c>
      <c r="AC39" s="22" t="str">
        <f t="shared" si="2"/>
        <v/>
      </c>
      <c r="AD39" s="23" t="str">
        <f>IF(AC39="","","   "&amp;INDEX(Results!$W$6:$W$18,MATCH(AC39,Results!$V$6:$V$18,1)))</f>
        <v/>
      </c>
    </row>
    <row r="40" spans="1:32" x14ac:dyDescent="0.2">
      <c r="A40" s="18">
        <f t="shared" ca="1" si="0"/>
        <v>35</v>
      </c>
      <c r="B40" s="38" t="str">
        <f>IF(Info!B40="Atlar şu ýeri","",Info!B40)</f>
        <v/>
      </c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20"/>
      <c r="AB40" s="21" t="str">
        <f t="shared" si="1"/>
        <v/>
      </c>
      <c r="AC40" s="22" t="str">
        <f t="shared" si="2"/>
        <v/>
      </c>
      <c r="AD40" s="23" t="str">
        <f>IF(AC40="","","   "&amp;INDEX(Results!$W$6:$W$18,MATCH(AC40,Results!$V$6:$V$18,1)))</f>
        <v/>
      </c>
    </row>
    <row r="41" spans="1:32" x14ac:dyDescent="0.2">
      <c r="A41" s="18">
        <f t="shared" ca="1" si="0"/>
        <v>36</v>
      </c>
      <c r="B41" s="38" t="str">
        <f>IF(Info!B41="Atlar şu ýeri","",Info!B41)</f>
        <v/>
      </c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20"/>
      <c r="AB41" s="21" t="str">
        <f t="shared" si="1"/>
        <v/>
      </c>
      <c r="AC41" s="22" t="str">
        <f t="shared" si="2"/>
        <v/>
      </c>
      <c r="AD41" s="23" t="str">
        <f>IF(AC41="","","   "&amp;INDEX(Results!$W$6:$W$18,MATCH(AC41,Results!$V$6:$V$18,1)))</f>
        <v/>
      </c>
    </row>
    <row r="42" spans="1:32" x14ac:dyDescent="0.2">
      <c r="A42" s="18">
        <f t="shared" ca="1" si="0"/>
        <v>37</v>
      </c>
      <c r="B42" s="38" t="str">
        <f>IF(Info!B42="Atlar şu ýeri","",Info!B42)</f>
        <v/>
      </c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20"/>
      <c r="AB42" s="21" t="str">
        <f t="shared" si="1"/>
        <v/>
      </c>
      <c r="AC42" s="22" t="str">
        <f t="shared" si="2"/>
        <v/>
      </c>
      <c r="AD42" s="23" t="str">
        <f>IF(AC42="","","   "&amp;INDEX(Results!$W$6:$W$18,MATCH(AC42,Results!$V$6:$V$18,1)))</f>
        <v/>
      </c>
    </row>
    <row r="43" spans="1:32" x14ac:dyDescent="0.2">
      <c r="A43" s="18">
        <f t="shared" ca="1" si="0"/>
        <v>38</v>
      </c>
      <c r="B43" s="38" t="str">
        <f>IF(Info!B43="Atlar şu ýeri","",Info!B43)</f>
        <v/>
      </c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20"/>
      <c r="AB43" s="21" t="str">
        <f t="shared" si="1"/>
        <v/>
      </c>
      <c r="AC43" s="22" t="str">
        <f t="shared" si="2"/>
        <v/>
      </c>
      <c r="AD43" s="23" t="str">
        <f>IF(AC43="","","   "&amp;INDEX(Results!$W$6:$W$18,MATCH(AC43,Results!$V$6:$V$18,1)))</f>
        <v/>
      </c>
    </row>
    <row r="44" spans="1:32" x14ac:dyDescent="0.2">
      <c r="A44" s="18">
        <f t="shared" ca="1" si="0"/>
        <v>39</v>
      </c>
      <c r="B44" s="38" t="str">
        <f>IF(Info!B44="Atlar şu ýeri","",Info!B44)</f>
        <v/>
      </c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20"/>
      <c r="AB44" s="21" t="str">
        <f t="shared" si="1"/>
        <v/>
      </c>
      <c r="AC44" s="22" t="str">
        <f t="shared" si="2"/>
        <v/>
      </c>
      <c r="AD44" s="23" t="str">
        <f>IF(AC44="","","   "&amp;INDEX(Results!$W$6:$W$18,MATCH(AC44,Results!$V$6:$V$18,1)))</f>
        <v/>
      </c>
    </row>
    <row r="45" spans="1:32" x14ac:dyDescent="0.2">
      <c r="A45" s="18">
        <f t="shared" ca="1" si="0"/>
        <v>40</v>
      </c>
      <c r="B45" s="38" t="str">
        <f>IF(Info!B45="Atlar şu ýeri","",Info!B45)</f>
        <v/>
      </c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20"/>
      <c r="AB45" s="21" t="str">
        <f t="shared" si="1"/>
        <v/>
      </c>
      <c r="AC45" s="22" t="str">
        <f t="shared" si="2"/>
        <v/>
      </c>
      <c r="AD45" s="23" t="str">
        <f>IF(AC45="","","   "&amp;INDEX(Results!$W$6:$W$18,MATCH(AC45,Results!$V$6:$V$18,1)))</f>
        <v/>
      </c>
    </row>
    <row r="46" spans="1:32" x14ac:dyDescent="0.2">
      <c r="A46" s="24" t="s">
        <v>0</v>
      </c>
      <c r="B46" s="25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96">
        <v>1</v>
      </c>
      <c r="AA46" s="27"/>
      <c r="AB46" s="28"/>
      <c r="AC46" s="29"/>
      <c r="AD46" s="30"/>
    </row>
    <row r="47" spans="1:32" x14ac:dyDescent="0.2">
      <c r="A47" s="2"/>
      <c r="B47" s="31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AA47" s="27"/>
      <c r="AB47" s="33" t="s">
        <v>45</v>
      </c>
      <c r="AC47" s="34" t="e">
        <f>AVERAGE(AC6:AC46)</f>
        <v>#DIV/0!</v>
      </c>
      <c r="AD47" s="35" t="e">
        <f>IF(AC47="","",INDEX(Results!$W$6:$W$18,MATCH(AC47,Results!$V$6:$V$18,1)))</f>
        <v>#DIV/0!</v>
      </c>
      <c r="AF47" s="36"/>
    </row>
    <row r="48" spans="1:32" x14ac:dyDescent="0.2">
      <c r="A48" s="2"/>
      <c r="B48" s="31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27"/>
      <c r="AB48" s="90"/>
      <c r="AC48" s="91"/>
      <c r="AD48" s="92"/>
      <c r="AF48" s="36"/>
    </row>
    <row r="49" spans="1:30" x14ac:dyDescent="0.2">
      <c r="A49" s="2"/>
      <c r="B49" s="37"/>
      <c r="C49" s="32"/>
      <c r="D49" s="32"/>
      <c r="E49" s="32"/>
      <c r="F49" s="32"/>
      <c r="G49" s="32"/>
      <c r="H49" s="32"/>
      <c r="I49" s="93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27"/>
      <c r="AB49" s="2"/>
      <c r="AC49" s="2"/>
      <c r="AD49" s="2"/>
    </row>
  </sheetData>
  <mergeCells count="4">
    <mergeCell ref="C1:T1"/>
    <mergeCell ref="AB3:AB4"/>
    <mergeCell ref="AC3:AC4"/>
    <mergeCell ref="AD3:AD4"/>
  </mergeCell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/>
  <headerFooter alignWithMargins="0"/>
  <drawing r:id="rId1"/>
  <legacyDrawing r:id="rId2"/>
  <controls>
    <mc:AlternateContent xmlns:mc="http://schemas.openxmlformats.org/markup-compatibility/2006">
      <mc:Choice Requires="x14">
        <control shapeId="44033" r:id="rId3" name="CommandButton1">
          <controlPr defaultSize="0" autoLine="0" r:id="rId4">
            <anchor moveWithCells="1">
              <from>
                <xdr:col>30</xdr:col>
                <xdr:colOff>180975</xdr:colOff>
                <xdr:row>1</xdr:row>
                <xdr:rowOff>85725</xdr:rowOff>
              </from>
              <to>
                <xdr:col>31</xdr:col>
                <xdr:colOff>981075</xdr:colOff>
                <xdr:row>3</xdr:row>
                <xdr:rowOff>28575</xdr:rowOff>
              </to>
            </anchor>
          </controlPr>
        </control>
      </mc:Choice>
      <mc:Fallback>
        <control shapeId="44033" r:id="rId3" name="CommandButton1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Z47"/>
  <sheetViews>
    <sheetView zoomScale="70" zoomScaleNormal="70" workbookViewId="0">
      <selection activeCell="V26" sqref="V26"/>
    </sheetView>
  </sheetViews>
  <sheetFormatPr defaultRowHeight="12.75" x14ac:dyDescent="0.2"/>
  <cols>
    <col min="1" max="1" width="4.85546875" bestFit="1" customWidth="1"/>
    <col min="2" max="2" width="4.7109375" customWidth="1"/>
    <col min="3" max="3" width="18.140625" bestFit="1" customWidth="1"/>
    <col min="4" max="4" width="1.140625" customWidth="1"/>
    <col min="5" max="5" width="16.85546875" bestFit="1" customWidth="1"/>
    <col min="6" max="6" width="11.140625" customWidth="1"/>
    <col min="7" max="11" width="11.28515625" customWidth="1"/>
    <col min="12" max="12" width="11.85546875" bestFit="1" customWidth="1"/>
    <col min="13" max="13" width="11.28515625" customWidth="1"/>
    <col min="14" max="14" width="16.42578125" bestFit="1" customWidth="1"/>
    <col min="15" max="16" width="11.28515625" customWidth="1"/>
    <col min="17" max="17" width="1.140625" customWidth="1"/>
    <col min="18" max="18" width="7.85546875" customWidth="1"/>
    <col min="19" max="19" width="7" customWidth="1"/>
    <col min="20" max="20" width="1.140625" customWidth="1"/>
    <col min="21" max="21" width="2.85546875" customWidth="1"/>
    <col min="22" max="22" width="15.42578125" bestFit="1" customWidth="1"/>
    <col min="25" max="25" width="9.5703125" customWidth="1"/>
    <col min="26" max="26" width="16.7109375" bestFit="1" customWidth="1"/>
  </cols>
  <sheetData>
    <row r="1" spans="1:26" ht="19.5" x14ac:dyDescent="0.3">
      <c r="B1" s="3" t="s">
        <v>153</v>
      </c>
      <c r="C1" s="3"/>
      <c r="D1" s="39"/>
      <c r="E1" s="40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41"/>
      <c r="U1" s="42"/>
      <c r="V1" s="42"/>
      <c r="W1" s="42"/>
      <c r="X1" s="1"/>
      <c r="Y1" s="1"/>
    </row>
    <row r="2" spans="1:26" s="43" customFormat="1" ht="15" customHeight="1" x14ac:dyDescent="0.3">
      <c r="B2" s="44"/>
      <c r="C2" s="42"/>
      <c r="D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1"/>
      <c r="Y2" s="1"/>
    </row>
    <row r="3" spans="1:26" ht="15" x14ac:dyDescent="0.25">
      <c r="C3" s="45" t="s">
        <v>149</v>
      </c>
      <c r="D3" s="45"/>
      <c r="V3" s="45" t="s">
        <v>42</v>
      </c>
    </row>
    <row r="4" spans="1:26" x14ac:dyDescent="0.2">
      <c r="A4" s="46"/>
      <c r="B4" s="47"/>
      <c r="C4" s="48" t="s">
        <v>148</v>
      </c>
      <c r="D4" s="49"/>
      <c r="E4" s="50" t="s">
        <v>159</v>
      </c>
      <c r="F4" s="50" t="s">
        <v>2</v>
      </c>
      <c r="G4" s="50" t="s">
        <v>3</v>
      </c>
      <c r="H4" s="50" t="s">
        <v>5</v>
      </c>
      <c r="I4" s="50" t="s">
        <v>43</v>
      </c>
      <c r="J4" s="50" t="s">
        <v>8</v>
      </c>
      <c r="K4" s="50" t="s">
        <v>12</v>
      </c>
      <c r="L4" s="50" t="s">
        <v>13</v>
      </c>
      <c r="M4" s="50" t="s">
        <v>7</v>
      </c>
      <c r="N4" s="50" t="s">
        <v>11</v>
      </c>
      <c r="O4" s="50" t="s">
        <v>9</v>
      </c>
      <c r="P4" s="50" t="s">
        <v>10</v>
      </c>
      <c r="Q4" s="50"/>
      <c r="R4" s="50" t="s">
        <v>44</v>
      </c>
      <c r="S4" s="50" t="s">
        <v>39</v>
      </c>
      <c r="T4" s="51"/>
      <c r="V4" s="52" t="s">
        <v>38</v>
      </c>
      <c r="W4" s="50" t="s">
        <v>39</v>
      </c>
      <c r="X4" s="101" t="s">
        <v>40</v>
      </c>
      <c r="Y4" s="101"/>
      <c r="Z4" s="53" t="s">
        <v>41</v>
      </c>
    </row>
    <row r="5" spans="1:26" ht="4.5" customHeight="1" x14ac:dyDescent="0.2">
      <c r="A5" s="46"/>
      <c r="B5" s="54"/>
      <c r="C5" s="55"/>
      <c r="D5" s="56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8"/>
      <c r="R5" s="57"/>
      <c r="S5" s="57"/>
      <c r="T5" s="59"/>
      <c r="V5" s="60"/>
      <c r="W5" s="61"/>
      <c r="X5" s="61"/>
      <c r="Y5" s="61"/>
      <c r="Z5" s="62"/>
    </row>
    <row r="6" spans="1:26" x14ac:dyDescent="0.2">
      <c r="A6" s="46"/>
      <c r="B6" s="63"/>
      <c r="C6" s="38" t="str">
        <f>IF(Info!B6="Atlar şu ýeri","",Info!B6)</f>
        <v>Abdullaýewa Dinara</v>
      </c>
      <c r="D6" s="64"/>
      <c r="E6" s="65" t="e">
        <f>'[1]Turkmen Language'!AC6</f>
        <v>#REF!</v>
      </c>
      <c r="F6" s="65" t="str">
        <f>Literature!AC6</f>
        <v/>
      </c>
      <c r="G6" s="65" t="str">
        <f>English!AC6</f>
        <v/>
      </c>
      <c r="H6" s="65" t="str">
        <f>Algebra!AC6</f>
        <v/>
      </c>
      <c r="I6" s="65" t="str">
        <f>Geometry!AC6</f>
        <v/>
      </c>
      <c r="J6" s="65" t="str">
        <f>Biology!AC6</f>
        <v/>
      </c>
      <c r="K6" s="65" t="str">
        <f>Computer!AC6</f>
        <v/>
      </c>
      <c r="L6" s="65" t="str">
        <f>PE!AC6</f>
        <v/>
      </c>
      <c r="M6" s="65" t="str">
        <f>'History 1'!AC6</f>
        <v/>
      </c>
      <c r="N6" s="65" t="str">
        <f>Russian!AC6</f>
        <v/>
      </c>
      <c r="O6" s="65" t="str">
        <f>Physics!AC6</f>
        <v/>
      </c>
      <c r="P6" s="65" t="str">
        <f>Chemistry!AC6</f>
        <v/>
      </c>
      <c r="Q6" s="64"/>
      <c r="R6" s="66" t="str">
        <f>IF(ISERROR(AVERAGE(E6:P6)),"",AVERAGE(E6:P6))</f>
        <v/>
      </c>
      <c r="S6" s="67" t="str">
        <f>IF(R6="",""," "&amp;INDEX(Results!$W$6:$W$18,MATCH(R6,Results!$V$6:$V$18,1)))</f>
        <v/>
      </c>
      <c r="T6" s="63"/>
      <c r="V6" s="68"/>
      <c r="W6" s="69"/>
      <c r="X6" s="69"/>
      <c r="Y6" s="70"/>
      <c r="Z6" s="71"/>
    </row>
    <row r="7" spans="1:26" x14ac:dyDescent="0.2">
      <c r="A7" s="46"/>
      <c r="B7" s="63"/>
      <c r="C7" s="38" t="str">
        <f>IF(Info!B7="Atlar şu ýeri","",Info!B7)</f>
        <v>Arslanow Yhlas</v>
      </c>
      <c r="D7" s="64"/>
      <c r="E7" s="65" t="str">
        <f>'Turkmen Language'!AC7</f>
        <v/>
      </c>
      <c r="F7" s="65" t="str">
        <f>Literature!AC7</f>
        <v/>
      </c>
      <c r="G7" s="65" t="str">
        <f>English!AC7</f>
        <v/>
      </c>
      <c r="H7" s="65" t="str">
        <f>Algebra!AC7</f>
        <v/>
      </c>
      <c r="I7" s="65" t="str">
        <f>Geometry!AC7</f>
        <v/>
      </c>
      <c r="J7" s="65" t="str">
        <f>Biology!AC7</f>
        <v/>
      </c>
      <c r="K7" s="65" t="str">
        <f>Computer!AC7</f>
        <v/>
      </c>
      <c r="L7" s="65" t="str">
        <f>PE!AC7</f>
        <v/>
      </c>
      <c r="M7" s="65" t="str">
        <f>'History 1'!AC7</f>
        <v/>
      </c>
      <c r="N7" s="65" t="str">
        <f>Russian!AC7</f>
        <v/>
      </c>
      <c r="O7" s="65" t="str">
        <f>Physics!AC7</f>
        <v/>
      </c>
      <c r="P7" s="65" t="str">
        <f>Chemistry!AC7</f>
        <v/>
      </c>
      <c r="Q7" s="64"/>
      <c r="R7" s="66" t="str">
        <f>IF(ISERROR(AVERAGE(E7:P7)),"",AVERAGE(E7:P7))</f>
        <v/>
      </c>
      <c r="S7" s="67" t="str">
        <f>IF(R7="",""," "&amp;INDEX(Results!$W$6:$W$18,MATCH(R7,Results!$V$6:$V$18,1)))</f>
        <v/>
      </c>
      <c r="T7" s="63"/>
      <c r="V7" s="68"/>
      <c r="W7" s="72"/>
      <c r="X7" s="69"/>
      <c r="Y7" s="70"/>
      <c r="Z7" s="71"/>
    </row>
    <row r="8" spans="1:26" x14ac:dyDescent="0.2">
      <c r="A8" s="46"/>
      <c r="B8" s="63"/>
      <c r="C8" s="38" t="str">
        <f>IF(Info!B8="Atlar şu ýeri","",Info!B8)</f>
        <v>Aşyrowa Maýsa</v>
      </c>
      <c r="D8" s="64"/>
      <c r="E8" s="65" t="str">
        <f>'Turkmen Language'!AC8</f>
        <v/>
      </c>
      <c r="F8" s="65" t="str">
        <f>Literature!AC8</f>
        <v/>
      </c>
      <c r="G8" s="65" t="str">
        <f>English!AC8</f>
        <v/>
      </c>
      <c r="H8" s="65" t="str">
        <f>Algebra!AC8</f>
        <v/>
      </c>
      <c r="I8" s="65" t="str">
        <f>Geometry!AC8</f>
        <v/>
      </c>
      <c r="J8" s="65" t="str">
        <f>Biology!AC8</f>
        <v/>
      </c>
      <c r="K8" s="65" t="str">
        <f>Computer!AC8</f>
        <v/>
      </c>
      <c r="L8" s="65" t="str">
        <f>PE!AC8</f>
        <v/>
      </c>
      <c r="M8" s="65" t="str">
        <f>'History 1'!AC8</f>
        <v/>
      </c>
      <c r="N8" s="65" t="str">
        <f>Russian!AC8</f>
        <v/>
      </c>
      <c r="O8" s="65" t="str">
        <f>Physics!AC8</f>
        <v/>
      </c>
      <c r="P8" s="65" t="str">
        <f>Chemistry!AC8</f>
        <v/>
      </c>
      <c r="Q8" s="64"/>
      <c r="R8" s="66" t="str">
        <f>IF(ISERROR(AVERAGE(E8:P8)),"",AVERAGE(E8:P8))</f>
        <v/>
      </c>
      <c r="S8" s="67" t="str">
        <f>IF(R8="",""," "&amp;INDEX(Results!$W$6:$W$18,MATCH(R8,Results!$V$6:$V$18,1)))</f>
        <v/>
      </c>
      <c r="T8" s="63"/>
      <c r="V8" s="68"/>
      <c r="W8" s="72"/>
      <c r="X8" s="69"/>
      <c r="Y8" s="70"/>
      <c r="Z8" s="71"/>
    </row>
    <row r="9" spans="1:26" x14ac:dyDescent="0.2">
      <c r="A9" s="46"/>
      <c r="B9" s="63"/>
      <c r="C9" s="38" t="str">
        <f>IF(Info!B9="Atlar şu ýeri","",Info!B9)</f>
        <v>Atabaýewa Ogulaý</v>
      </c>
      <c r="D9" s="64"/>
      <c r="E9" s="65" t="str">
        <f>'Turkmen Language'!AC9</f>
        <v/>
      </c>
      <c r="F9" s="65" t="str">
        <f>Literature!AC9</f>
        <v/>
      </c>
      <c r="G9" s="65" t="str">
        <f>English!AC9</f>
        <v/>
      </c>
      <c r="H9" s="65" t="str">
        <f>Algebra!AC9</f>
        <v/>
      </c>
      <c r="I9" s="65" t="str">
        <f>Geometry!AC9</f>
        <v/>
      </c>
      <c r="J9" s="65" t="str">
        <f>Biology!AC9</f>
        <v/>
      </c>
      <c r="K9" s="65" t="str">
        <f>Computer!AC9</f>
        <v/>
      </c>
      <c r="L9" s="65" t="str">
        <f>PE!AC9</f>
        <v/>
      </c>
      <c r="M9" s="65" t="str">
        <f>'History 1'!AC9</f>
        <v/>
      </c>
      <c r="N9" s="65" t="str">
        <f>Russian!AC9</f>
        <v/>
      </c>
      <c r="O9" s="65" t="str">
        <f>Physics!AC9</f>
        <v/>
      </c>
      <c r="P9" s="65" t="str">
        <f>Chemistry!AC9</f>
        <v/>
      </c>
      <c r="Q9" s="64"/>
      <c r="R9" s="66" t="str">
        <f>IF(ISERROR(AVERAGE(E9:P9)),"",AVERAGE(E9:P9))</f>
        <v/>
      </c>
      <c r="S9" s="67" t="str">
        <f>IF(R9="",""," "&amp;INDEX(Results!$W$6:$W$18,MATCH(R9,Results!$V$6:$V$18,1)))</f>
        <v/>
      </c>
      <c r="T9" s="63"/>
      <c r="V9" s="68"/>
      <c r="W9" s="72"/>
      <c r="X9" s="69"/>
      <c r="Y9" s="70"/>
      <c r="Z9" s="71"/>
    </row>
    <row r="10" spans="1:26" x14ac:dyDescent="0.2">
      <c r="A10" s="46"/>
      <c r="B10" s="63"/>
      <c r="C10" s="38" t="str">
        <f>IF(Info!B10="Atlar şu ýeri","",Info!B10)</f>
        <v>Atanazarow Meýlis</v>
      </c>
      <c r="D10" s="64"/>
      <c r="E10" s="65" t="str">
        <f>'Turkmen Language'!AC10</f>
        <v/>
      </c>
      <c r="F10" s="65" t="str">
        <f>Literature!AC10</f>
        <v/>
      </c>
      <c r="G10" s="65" t="str">
        <f>English!AC10</f>
        <v/>
      </c>
      <c r="H10" s="65" t="str">
        <f>Algebra!AC10</f>
        <v/>
      </c>
      <c r="I10" s="65" t="str">
        <f>Geometry!AC10</f>
        <v/>
      </c>
      <c r="J10" s="65" t="str">
        <f>Biology!AC10</f>
        <v/>
      </c>
      <c r="K10" s="65" t="str">
        <f>Computer!AC10</f>
        <v/>
      </c>
      <c r="L10" s="65" t="str">
        <f>PE!AC10</f>
        <v/>
      </c>
      <c r="M10" s="65" t="str">
        <f>'History 1'!AC10</f>
        <v/>
      </c>
      <c r="N10" s="65" t="str">
        <f>Russian!AC10</f>
        <v/>
      </c>
      <c r="O10" s="65" t="str">
        <f>Physics!AC10</f>
        <v/>
      </c>
      <c r="P10" s="65" t="str">
        <f>Chemistry!AC10</f>
        <v/>
      </c>
      <c r="Q10" s="64"/>
      <c r="R10" s="66" t="str">
        <f>IF(ISERROR(AVERAGE(E10:P10)),"",AVERAGE(E10:P10))</f>
        <v/>
      </c>
      <c r="S10" s="67" t="str">
        <f>IF(R10="",""," "&amp;INDEX(Results!$W$6:$W$18,MATCH(R10,Results!$V$6:$V$18,1)))</f>
        <v/>
      </c>
      <c r="T10" s="63"/>
      <c r="V10" s="68"/>
      <c r="W10" s="72"/>
      <c r="X10" s="69"/>
      <c r="Y10" s="70"/>
      <c r="Z10" s="71"/>
    </row>
    <row r="11" spans="1:26" x14ac:dyDescent="0.2">
      <c r="A11" s="46"/>
      <c r="B11" s="63"/>
      <c r="C11" s="38" t="str">
        <f>IF(Info!B11="Atlar şu ýeri","",Info!B11)</f>
        <v>Babajanowa Aýlar</v>
      </c>
      <c r="D11" s="64"/>
      <c r="E11" s="65" t="str">
        <f>'Turkmen Language'!AC11</f>
        <v/>
      </c>
      <c r="F11" s="65" t="str">
        <f>Literature!AC11</f>
        <v/>
      </c>
      <c r="G11" s="65" t="str">
        <f>English!AC11</f>
        <v/>
      </c>
      <c r="H11" s="65" t="str">
        <f>Algebra!AC11</f>
        <v/>
      </c>
      <c r="I11" s="65" t="str">
        <f>Geometry!AC11</f>
        <v/>
      </c>
      <c r="J11" s="65" t="str">
        <f>Biology!AC11</f>
        <v/>
      </c>
      <c r="K11" s="65" t="str">
        <f>Computer!AC11</f>
        <v/>
      </c>
      <c r="L11" s="65" t="str">
        <f>PE!AC11</f>
        <v/>
      </c>
      <c r="M11" s="65" t="str">
        <f>'History 1'!AC11</f>
        <v/>
      </c>
      <c r="N11" s="65" t="str">
        <f>Russian!AC11</f>
        <v/>
      </c>
      <c r="O11" s="65" t="str">
        <f>Physics!AC11</f>
        <v/>
      </c>
      <c r="P11" s="65" t="str">
        <f>Chemistry!AC11</f>
        <v/>
      </c>
      <c r="Q11" s="64"/>
      <c r="R11" s="66" t="str">
        <f>IF(ISERROR(AVERAGE(E11:P11)),"",AVERAGE(E11:P11))</f>
        <v/>
      </c>
      <c r="S11" s="67" t="str">
        <f>IF(R11="",""," "&amp;INDEX(Results!$W$6:$W$18,MATCH(R11,Results!$V$6:$V$18,1)))</f>
        <v/>
      </c>
      <c r="T11" s="63"/>
      <c r="V11" s="68"/>
      <c r="W11" s="72"/>
      <c r="X11" s="69"/>
      <c r="Y11" s="70"/>
      <c r="Z11" s="71"/>
    </row>
    <row r="12" spans="1:26" x14ac:dyDescent="0.2">
      <c r="A12" s="46"/>
      <c r="B12" s="63"/>
      <c r="C12" s="38" t="str">
        <f>IF(Info!B12="Atlar şu ýeri","",Info!B12)</f>
        <v>Babajanowa Selbi</v>
      </c>
      <c r="D12" s="64"/>
      <c r="E12" s="65" t="str">
        <f>'Turkmen Language'!AC12</f>
        <v/>
      </c>
      <c r="F12" s="65" t="str">
        <f>Literature!AC12</f>
        <v/>
      </c>
      <c r="G12" s="65" t="str">
        <f>English!AC12</f>
        <v/>
      </c>
      <c r="H12" s="65" t="str">
        <f>Algebra!AC12</f>
        <v/>
      </c>
      <c r="I12" s="65" t="str">
        <f>Geometry!AC12</f>
        <v/>
      </c>
      <c r="J12" s="65" t="str">
        <f>Biology!AC12</f>
        <v/>
      </c>
      <c r="K12" s="65" t="str">
        <f>Computer!AC12</f>
        <v/>
      </c>
      <c r="L12" s="65" t="str">
        <f>PE!AC12</f>
        <v/>
      </c>
      <c r="M12" s="65" t="str">
        <f>'History 1'!AC12</f>
        <v/>
      </c>
      <c r="N12" s="65" t="str">
        <f>Russian!AC12</f>
        <v/>
      </c>
      <c r="O12" s="65" t="str">
        <f>Physics!AC12</f>
        <v/>
      </c>
      <c r="P12" s="65" t="str">
        <f>Chemistry!AC12</f>
        <v/>
      </c>
      <c r="Q12" s="64"/>
      <c r="R12" s="66" t="str">
        <f>IF(ISERROR(AVERAGE(E12:P12)),"",AVERAGE(E12:P12))</f>
        <v/>
      </c>
      <c r="S12" s="67" t="str">
        <f>IF(R12="",""," "&amp;INDEX(Results!$W$6:$W$18,MATCH(R12,Results!$V$6:$V$18,1)))</f>
        <v/>
      </c>
      <c r="T12" s="63"/>
      <c r="V12" s="68"/>
      <c r="W12" s="72"/>
      <c r="X12" s="69"/>
      <c r="Y12" s="70"/>
      <c r="Z12" s="71"/>
    </row>
    <row r="13" spans="1:26" x14ac:dyDescent="0.2">
      <c r="A13" s="46"/>
      <c r="B13" s="63"/>
      <c r="C13" s="38" t="str">
        <f>IF(Info!B13="Atlar şu ýeri","",Info!B13)</f>
        <v>Ataýew Nurgeldi</v>
      </c>
      <c r="D13" s="64"/>
      <c r="E13" s="65" t="str">
        <f>'Turkmen Language'!AC13</f>
        <v/>
      </c>
      <c r="F13" s="65" t="str">
        <f>Literature!AC13</f>
        <v/>
      </c>
      <c r="G13" s="65" t="str">
        <f>English!AC13</f>
        <v/>
      </c>
      <c r="H13" s="65" t="str">
        <f>Algebra!AC13</f>
        <v/>
      </c>
      <c r="I13" s="65" t="str">
        <f>Geometry!AC13</f>
        <v/>
      </c>
      <c r="J13" s="65" t="str">
        <f>Biology!AC13</f>
        <v/>
      </c>
      <c r="K13" s="65" t="str">
        <f>Computer!AC13</f>
        <v/>
      </c>
      <c r="L13" s="65" t="str">
        <f>PE!AC13</f>
        <v/>
      </c>
      <c r="M13" s="65" t="str">
        <f>'History 1'!AC13</f>
        <v/>
      </c>
      <c r="N13" s="65" t="str">
        <f>Russian!AC13</f>
        <v/>
      </c>
      <c r="O13" s="65" t="str">
        <f>Physics!AC13</f>
        <v/>
      </c>
      <c r="P13" s="65" t="str">
        <f>Chemistry!AC13</f>
        <v/>
      </c>
      <c r="Q13" s="64"/>
      <c r="R13" s="66" t="str">
        <f>IF(ISERROR(AVERAGE(E13:P13)),"",AVERAGE(E13:P13))</f>
        <v/>
      </c>
      <c r="S13" s="67" t="str">
        <f>IF(R13="",""," "&amp;INDEX(Results!$W$6:$W$18,MATCH(R13,Results!$V$6:$V$18,1)))</f>
        <v/>
      </c>
      <c r="T13" s="63"/>
      <c r="V13" s="68"/>
      <c r="W13" s="72"/>
      <c r="X13" s="69"/>
      <c r="Y13" s="70"/>
      <c r="Z13" s="71"/>
    </row>
    <row r="14" spans="1:26" x14ac:dyDescent="0.2">
      <c r="A14" s="46"/>
      <c r="B14" s="63"/>
      <c r="C14" s="38" t="str">
        <f>IF(Info!B14="Atlar şu ýeri","",Info!B14)</f>
        <v>Batyrow Arafat</v>
      </c>
      <c r="D14" s="64"/>
      <c r="E14" s="65" t="str">
        <f>'Turkmen Language'!AC14</f>
        <v/>
      </c>
      <c r="F14" s="65" t="str">
        <f>Literature!AC14</f>
        <v/>
      </c>
      <c r="G14" s="65" t="str">
        <f>English!AC14</f>
        <v/>
      </c>
      <c r="H14" s="65" t="str">
        <f>Algebra!AC14</f>
        <v/>
      </c>
      <c r="I14" s="65" t="str">
        <f>Geometry!AC14</f>
        <v/>
      </c>
      <c r="J14" s="65" t="str">
        <f>Biology!AC14</f>
        <v/>
      </c>
      <c r="K14" s="65" t="str">
        <f>Computer!AC14</f>
        <v/>
      </c>
      <c r="L14" s="65" t="str">
        <f>PE!AC14</f>
        <v/>
      </c>
      <c r="M14" s="65" t="str">
        <f>'History 1'!AC14</f>
        <v/>
      </c>
      <c r="N14" s="65" t="str">
        <f>Russian!AC14</f>
        <v/>
      </c>
      <c r="O14" s="65" t="str">
        <f>Physics!AC14</f>
        <v/>
      </c>
      <c r="P14" s="65" t="str">
        <f>Chemistry!AC14</f>
        <v/>
      </c>
      <c r="Q14" s="64"/>
      <c r="R14" s="66" t="str">
        <f>IF(ISERROR(AVERAGE(E14:P14)),"",AVERAGE(E14:P14))</f>
        <v/>
      </c>
      <c r="S14" s="67" t="str">
        <f>IF(R14="",""," "&amp;INDEX(Results!$W$6:$W$18,MATCH(R14,Results!$V$6:$V$18,1)))</f>
        <v/>
      </c>
      <c r="T14" s="63"/>
      <c r="V14" s="68"/>
      <c r="W14" s="72"/>
      <c r="X14" s="69"/>
      <c r="Y14" s="70"/>
      <c r="Z14" s="71"/>
    </row>
    <row r="15" spans="1:26" x14ac:dyDescent="0.2">
      <c r="A15" s="46"/>
      <c r="B15" s="63"/>
      <c r="C15" s="38" t="str">
        <f>IF(Info!B15="Atlar şu ýeri","",Info!B15)</f>
        <v>Çaryýew Kemal</v>
      </c>
      <c r="D15" s="64"/>
      <c r="E15" s="65" t="str">
        <f>'Turkmen Language'!AC15</f>
        <v/>
      </c>
      <c r="F15" s="65" t="str">
        <f>Literature!AC15</f>
        <v/>
      </c>
      <c r="G15" s="65" t="str">
        <f>English!AC15</f>
        <v/>
      </c>
      <c r="H15" s="65" t="str">
        <f>Algebra!AC15</f>
        <v/>
      </c>
      <c r="I15" s="65" t="str">
        <f>Geometry!AC15</f>
        <v/>
      </c>
      <c r="J15" s="65" t="str">
        <f>Biology!AC15</f>
        <v/>
      </c>
      <c r="K15" s="65" t="str">
        <f>Computer!AC15</f>
        <v/>
      </c>
      <c r="L15" s="65" t="str">
        <f>PE!AC15</f>
        <v/>
      </c>
      <c r="M15" s="65" t="str">
        <f>'History 1'!AC15</f>
        <v/>
      </c>
      <c r="N15" s="65" t="str">
        <f>Russian!AC15</f>
        <v/>
      </c>
      <c r="O15" s="65" t="str">
        <f>Physics!AC15</f>
        <v/>
      </c>
      <c r="P15" s="65" t="str">
        <f>Chemistry!AC15</f>
        <v/>
      </c>
      <c r="Q15" s="64"/>
      <c r="R15" s="66" t="str">
        <f>IF(ISERROR(AVERAGE(E15:P15)),"",AVERAGE(E15:P15))</f>
        <v/>
      </c>
      <c r="S15" s="67" t="str">
        <f>IF(R15="",""," "&amp;INDEX(Results!$W$6:$W$18,MATCH(R15,Results!$V$6:$V$18,1)))</f>
        <v/>
      </c>
      <c r="T15" s="63"/>
      <c r="V15" s="68">
        <v>0</v>
      </c>
      <c r="W15" s="72">
        <v>2</v>
      </c>
      <c r="X15" s="69">
        <f ca="1">COUNTIF(Info!$U$6:$U$46,"&gt;="&amp;V15)-COUNTIF(Info!$U$6:$U$46,"&gt;="&amp;OFFSET(V15,1,0,1,1))</f>
        <v>0</v>
      </c>
      <c r="Y15" s="70" t="e">
        <f t="shared" ref="Y15:Y18" ca="1" si="0">X15/$X$19</f>
        <v>#DIV/0!</v>
      </c>
      <c r="Z15" s="71" t="s">
        <v>34</v>
      </c>
    </row>
    <row r="16" spans="1:26" x14ac:dyDescent="0.2">
      <c r="A16" s="46"/>
      <c r="B16" s="63"/>
      <c r="C16" s="38" t="str">
        <f>IF(Info!B16="Atlar şu ýeri","",Info!B16)</f>
        <v>Gurbanow Mekanmyrat</v>
      </c>
      <c r="D16" s="64"/>
      <c r="E16" s="65" t="str">
        <f>'Turkmen Language'!AC16</f>
        <v/>
      </c>
      <c r="F16" s="65" t="str">
        <f>Literature!AC16</f>
        <v/>
      </c>
      <c r="G16" s="65" t="str">
        <f>English!AC16</f>
        <v/>
      </c>
      <c r="H16" s="65" t="str">
        <f>Algebra!AC16</f>
        <v/>
      </c>
      <c r="I16" s="65" t="str">
        <f>Geometry!AC16</f>
        <v/>
      </c>
      <c r="J16" s="65" t="str">
        <f>Biology!AC16</f>
        <v/>
      </c>
      <c r="K16" s="65" t="str">
        <f>Computer!AC16</f>
        <v/>
      </c>
      <c r="L16" s="65" t="str">
        <f>PE!AC16</f>
        <v/>
      </c>
      <c r="M16" s="65" t="str">
        <f>'History 1'!AC16</f>
        <v/>
      </c>
      <c r="N16" s="65" t="str">
        <f>Russian!AC16</f>
        <v/>
      </c>
      <c r="O16" s="65" t="str">
        <f>Physics!AC16</f>
        <v/>
      </c>
      <c r="P16" s="65" t="str">
        <f>Chemistry!AC16</f>
        <v/>
      </c>
      <c r="Q16" s="64"/>
      <c r="R16" s="66" t="str">
        <f>IF(ISERROR(AVERAGE(E16:P16)),"",AVERAGE(E16:P16))</f>
        <v/>
      </c>
      <c r="S16" s="67" t="str">
        <f>IF(R16="",""," "&amp;INDEX(Results!$W$6:$W$18,MATCH(R16,Results!$V$6:$V$18,1)))</f>
        <v/>
      </c>
      <c r="T16" s="63"/>
      <c r="V16" s="68">
        <v>0.45</v>
      </c>
      <c r="W16" s="72">
        <v>3</v>
      </c>
      <c r="X16" s="69">
        <f ca="1">COUNTIF(Info!$U$6:$U$46,"&gt;="&amp;V16)-COUNTIF(Info!$U$6:$U$46,"&gt;="&amp;OFFSET(V16,1,0,1,1))</f>
        <v>0</v>
      </c>
      <c r="Y16" s="70" t="e">
        <f t="shared" ca="1" si="0"/>
        <v>#DIV/0!</v>
      </c>
      <c r="Z16" s="71" t="s">
        <v>33</v>
      </c>
    </row>
    <row r="17" spans="1:26" x14ac:dyDescent="0.2">
      <c r="A17" s="46"/>
      <c r="B17" s="63"/>
      <c r="C17" s="38" t="str">
        <f>IF(Info!B17="Atlar şu ýeri","",Info!B17)</f>
        <v>Hojamuhammedow Guwanç</v>
      </c>
      <c r="D17" s="64"/>
      <c r="E17" s="65" t="str">
        <f>'Turkmen Language'!AC17</f>
        <v/>
      </c>
      <c r="F17" s="65" t="str">
        <f>Literature!AC17</f>
        <v/>
      </c>
      <c r="G17" s="65" t="str">
        <f>English!AC17</f>
        <v/>
      </c>
      <c r="H17" s="65" t="str">
        <f>Algebra!AC17</f>
        <v/>
      </c>
      <c r="I17" s="65" t="str">
        <f>Geometry!AC17</f>
        <v/>
      </c>
      <c r="J17" s="65" t="str">
        <f>Biology!AC17</f>
        <v/>
      </c>
      <c r="K17" s="65" t="str">
        <f>Computer!AC17</f>
        <v/>
      </c>
      <c r="L17" s="65" t="str">
        <f>PE!AC17</f>
        <v/>
      </c>
      <c r="M17" s="65" t="str">
        <f>'History 1'!AC17</f>
        <v/>
      </c>
      <c r="N17" s="65" t="str">
        <f>Russian!AC17</f>
        <v/>
      </c>
      <c r="O17" s="65" t="str">
        <f>Physics!AC17</f>
        <v/>
      </c>
      <c r="P17" s="65" t="str">
        <f>Chemistry!AC17</f>
        <v/>
      </c>
      <c r="Q17" s="64"/>
      <c r="R17" s="66" t="str">
        <f>IF(ISERROR(AVERAGE(E17:P17)),"",AVERAGE(E17:P17))</f>
        <v/>
      </c>
      <c r="S17" s="67" t="str">
        <f>IF(R17="",""," "&amp;INDEX(Results!$W$6:$W$18,MATCH(R17,Results!$V$6:$V$18,1)))</f>
        <v/>
      </c>
      <c r="T17" s="63"/>
      <c r="V17" s="68">
        <v>0.6</v>
      </c>
      <c r="W17" s="69">
        <v>4</v>
      </c>
      <c r="X17" s="69">
        <f ca="1">COUNTIF(Info!$U$6:$U$46,"&gt;="&amp;V17)-COUNTIF(Info!$U$6:$U$46,"&gt;="&amp;OFFSET(V17,1,0,1,1))</f>
        <v>0</v>
      </c>
      <c r="Y17" s="70" t="e">
        <f t="shared" ca="1" si="0"/>
        <v>#DIV/0!</v>
      </c>
      <c r="Z17" s="71" t="s">
        <v>32</v>
      </c>
    </row>
    <row r="18" spans="1:26" x14ac:dyDescent="0.2">
      <c r="A18" s="46"/>
      <c r="B18" s="63"/>
      <c r="C18" s="38" t="str">
        <f>IF(Info!B18="Atlar şu ýeri","",Info!B18)</f>
        <v xml:space="preserve">Hojamämmedow  </v>
      </c>
      <c r="D18" s="64"/>
      <c r="E18" s="65" t="str">
        <f>'Turkmen Language'!AC18</f>
        <v/>
      </c>
      <c r="F18" s="65" t="str">
        <f>Literature!AC18</f>
        <v/>
      </c>
      <c r="G18" s="65" t="str">
        <f>English!AC18</f>
        <v/>
      </c>
      <c r="H18" s="65" t="str">
        <f>Algebra!AC18</f>
        <v/>
      </c>
      <c r="I18" s="65" t="str">
        <f>Geometry!AC18</f>
        <v/>
      </c>
      <c r="J18" s="65" t="str">
        <f>Biology!AC18</f>
        <v/>
      </c>
      <c r="K18" s="65" t="str">
        <f>Computer!AC18</f>
        <v/>
      </c>
      <c r="L18" s="65" t="str">
        <f>PE!AC18</f>
        <v/>
      </c>
      <c r="M18" s="65" t="str">
        <f>'History 1'!AC18</f>
        <v/>
      </c>
      <c r="N18" s="65" t="str">
        <f>Russian!AC18</f>
        <v/>
      </c>
      <c r="O18" s="65" t="str">
        <f>Physics!AC18</f>
        <v/>
      </c>
      <c r="P18" s="65" t="str">
        <f>Chemistry!AC18</f>
        <v/>
      </c>
      <c r="Q18" s="64"/>
      <c r="R18" s="66" t="str">
        <f>IF(ISERROR(AVERAGE(E18:P18)),"",AVERAGE(E18:P18))</f>
        <v/>
      </c>
      <c r="S18" s="67" t="str">
        <f>IF(R18="",""," "&amp;INDEX(Results!$W$6:$W$18,MATCH(R18,Results!$V$6:$V$18,1)))</f>
        <v/>
      </c>
      <c r="T18" s="63"/>
      <c r="V18" s="68">
        <v>0.8</v>
      </c>
      <c r="W18" s="69">
        <v>5</v>
      </c>
      <c r="X18" s="69">
        <f ca="1">COUNTIF(Info!$U$6:$U$46,"&gt;="&amp;V18)-COUNTIF(Info!$U$6:$U$46,"&gt;="&amp;OFFSET(V18,1,0,1,1))</f>
        <v>0</v>
      </c>
      <c r="Y18" s="70" t="e">
        <f t="shared" ca="1" si="0"/>
        <v>#DIV/0!</v>
      </c>
      <c r="Z18" s="71" t="s">
        <v>31</v>
      </c>
    </row>
    <row r="19" spans="1:26" x14ac:dyDescent="0.2">
      <c r="A19" s="46"/>
      <c r="B19" s="63"/>
      <c r="C19" s="38" t="str">
        <f>IF(Info!B19="Atlar şu ýeri","",Info!B19)</f>
        <v>Hanowa Gülälek</v>
      </c>
      <c r="D19" s="64"/>
      <c r="E19" s="65" t="str">
        <f>'Turkmen Language'!AC19</f>
        <v/>
      </c>
      <c r="F19" s="65" t="str">
        <f>Literature!AC19</f>
        <v/>
      </c>
      <c r="G19" s="65" t="str">
        <f>English!AC19</f>
        <v/>
      </c>
      <c r="H19" s="65" t="str">
        <f>Algebra!AC19</f>
        <v/>
      </c>
      <c r="I19" s="65" t="str">
        <f>Geometry!AC19</f>
        <v/>
      </c>
      <c r="J19" s="65" t="str">
        <f>Biology!AC19</f>
        <v/>
      </c>
      <c r="K19" s="65" t="str">
        <f>Computer!AC19</f>
        <v/>
      </c>
      <c r="L19" s="65" t="str">
        <f>PE!AC19</f>
        <v/>
      </c>
      <c r="M19" s="65" t="str">
        <f>'History 1'!AC19</f>
        <v/>
      </c>
      <c r="N19" s="65" t="str">
        <f>Russian!AC19</f>
        <v/>
      </c>
      <c r="O19" s="65" t="str">
        <f>Physics!AC19</f>
        <v/>
      </c>
      <c r="P19" s="65" t="str">
        <f>Chemistry!AC19</f>
        <v/>
      </c>
      <c r="Q19" s="64"/>
      <c r="R19" s="66" t="str">
        <f>IF(ISERROR(AVERAGE(E19:P19)),"",AVERAGE(E19:P19))</f>
        <v/>
      </c>
      <c r="S19" s="67" t="str">
        <f>IF(R19="",""," "&amp;INDEX(Results!$W$6:$W$18,MATCH(R19,Results!$V$6:$V$18,1)))</f>
        <v/>
      </c>
      <c r="T19" s="63"/>
      <c r="V19" s="73">
        <v>100</v>
      </c>
      <c r="W19" s="74" t="s">
        <v>150</v>
      </c>
      <c r="X19" s="75">
        <f ca="1">SUM(X6:X18)</f>
        <v>0</v>
      </c>
    </row>
    <row r="20" spans="1:26" x14ac:dyDescent="0.2">
      <c r="A20" s="46"/>
      <c r="B20" s="63"/>
      <c r="C20" s="38" t="str">
        <f>IF(Info!B20="Atlar şu ýeri","",Info!B20)</f>
        <v>Husainow Serdar</v>
      </c>
      <c r="D20" s="64"/>
      <c r="E20" s="65" t="str">
        <f>'Turkmen Language'!AC20</f>
        <v/>
      </c>
      <c r="F20" s="65" t="str">
        <f>Literature!AC20</f>
        <v/>
      </c>
      <c r="G20" s="65" t="str">
        <f>English!AC20</f>
        <v/>
      </c>
      <c r="H20" s="65" t="str">
        <f>Algebra!AC20</f>
        <v/>
      </c>
      <c r="I20" s="65" t="str">
        <f>Geometry!AC20</f>
        <v/>
      </c>
      <c r="J20" s="65" t="str">
        <f>Biology!AC20</f>
        <v/>
      </c>
      <c r="K20" s="65" t="str">
        <f>Computer!AC20</f>
        <v/>
      </c>
      <c r="L20" s="65" t="str">
        <f>PE!AC20</f>
        <v/>
      </c>
      <c r="M20" s="65" t="str">
        <f>'History 1'!AC20</f>
        <v/>
      </c>
      <c r="N20" s="65" t="str">
        <f>Russian!AC20</f>
        <v/>
      </c>
      <c r="O20" s="65" t="str">
        <f>Physics!AC20</f>
        <v/>
      </c>
      <c r="P20" s="65" t="str">
        <f>Chemistry!AC20</f>
        <v/>
      </c>
      <c r="Q20" s="64"/>
      <c r="R20" s="66" t="str">
        <f>IF(ISERROR(AVERAGE(E20:P20)),"",AVERAGE(E20:P20))</f>
        <v/>
      </c>
      <c r="S20" s="67" t="str">
        <f>IF(R20="",""," "&amp;INDEX(Results!$W$6:$W$18,MATCH(R20,Results!$V$6:$V$18,1)))</f>
        <v/>
      </c>
      <c r="T20" s="63"/>
    </row>
    <row r="21" spans="1:26" x14ac:dyDescent="0.2">
      <c r="A21" s="46"/>
      <c r="B21" s="63"/>
      <c r="C21" s="38" t="str">
        <f>IF(Info!B21="Atlar şu ýeri","",Info!B21)</f>
        <v>Orunowa Täçbibi</v>
      </c>
      <c r="D21" s="64"/>
      <c r="E21" s="65" t="str">
        <f>'Turkmen Language'!AC21</f>
        <v/>
      </c>
      <c r="F21" s="65" t="str">
        <f>Literature!AC21</f>
        <v/>
      </c>
      <c r="G21" s="65" t="str">
        <f>English!AC21</f>
        <v/>
      </c>
      <c r="H21" s="65" t="str">
        <f>Algebra!AC21</f>
        <v/>
      </c>
      <c r="I21" s="65" t="str">
        <f>Geometry!AC21</f>
        <v/>
      </c>
      <c r="J21" s="65" t="str">
        <f>Biology!AC21</f>
        <v/>
      </c>
      <c r="K21" s="65" t="str">
        <f>Computer!AC21</f>
        <v/>
      </c>
      <c r="L21" s="65" t="str">
        <f>PE!AC21</f>
        <v/>
      </c>
      <c r="M21" s="65" t="str">
        <f>'History 1'!AC21</f>
        <v/>
      </c>
      <c r="N21" s="65" t="str">
        <f>Russian!AC21</f>
        <v/>
      </c>
      <c r="O21" s="65" t="str">
        <f>Physics!AC21</f>
        <v/>
      </c>
      <c r="P21" s="65" t="str">
        <f>Chemistry!AC21</f>
        <v/>
      </c>
      <c r="Q21" s="64"/>
      <c r="R21" s="66" t="str">
        <f>IF(ISERROR(AVERAGE(E21:P21)),"",AVERAGE(E21:P21))</f>
        <v/>
      </c>
      <c r="S21" s="67" t="str">
        <f>IF(R21="",""," "&amp;INDEX(Results!$W$6:$W$18,MATCH(R21,Results!$V$6:$V$18,1)))</f>
        <v/>
      </c>
      <c r="T21" s="63"/>
    </row>
    <row r="22" spans="1:26" x14ac:dyDescent="0.2">
      <c r="A22" s="46"/>
      <c r="B22" s="63"/>
      <c r="C22" s="38" t="str">
        <f>IF(Info!B22="Atlar şu ýeri","",Info!B22)</f>
        <v>Ilýasow Älem</v>
      </c>
      <c r="D22" s="64"/>
      <c r="E22" s="65" t="str">
        <f>'Turkmen Language'!AC22</f>
        <v/>
      </c>
      <c r="F22" s="65" t="str">
        <f>Literature!AC22</f>
        <v/>
      </c>
      <c r="G22" s="65" t="str">
        <f>English!AC22</f>
        <v/>
      </c>
      <c r="H22" s="65" t="str">
        <f>Algebra!AC22</f>
        <v/>
      </c>
      <c r="I22" s="65" t="str">
        <f>Geometry!AC22</f>
        <v/>
      </c>
      <c r="J22" s="65" t="str">
        <f>Biology!AC22</f>
        <v/>
      </c>
      <c r="K22" s="65" t="str">
        <f>Computer!AC22</f>
        <v/>
      </c>
      <c r="L22" s="65" t="str">
        <f>PE!AC22</f>
        <v/>
      </c>
      <c r="M22" s="65" t="str">
        <f>'History 1'!AC22</f>
        <v/>
      </c>
      <c r="N22" s="65" t="str">
        <f>Russian!AC22</f>
        <v/>
      </c>
      <c r="O22" s="65" t="str">
        <f>Physics!AC22</f>
        <v/>
      </c>
      <c r="P22" s="65" t="str">
        <f>Chemistry!AC22</f>
        <v/>
      </c>
      <c r="Q22" s="64"/>
      <c r="R22" s="66" t="str">
        <f>IF(ISERROR(AVERAGE(E22:P22)),"",AVERAGE(E22:P22))</f>
        <v/>
      </c>
      <c r="S22" s="67" t="str">
        <f>IF(R22="",""," "&amp;INDEX(Results!$W$6:$W$18,MATCH(R22,Results!$V$6:$V$18,1)))</f>
        <v/>
      </c>
      <c r="T22" s="63"/>
    </row>
    <row r="23" spans="1:26" x14ac:dyDescent="0.2">
      <c r="A23" s="46"/>
      <c r="B23" s="63"/>
      <c r="C23" s="38" t="str">
        <f>IF(Info!B23="Atlar şu ýeri","",Info!B23)</f>
        <v>Karabaýew Begli</v>
      </c>
      <c r="D23" s="64"/>
      <c r="E23" s="65" t="str">
        <f>'Turkmen Language'!AC23</f>
        <v/>
      </c>
      <c r="F23" s="65" t="str">
        <f>Literature!AC23</f>
        <v/>
      </c>
      <c r="G23" s="65" t="str">
        <f>English!AC23</f>
        <v/>
      </c>
      <c r="H23" s="65" t="str">
        <f>Algebra!AC23</f>
        <v/>
      </c>
      <c r="I23" s="65" t="str">
        <f>Geometry!AC23</f>
        <v/>
      </c>
      <c r="J23" s="65" t="str">
        <f>Biology!AC23</f>
        <v/>
      </c>
      <c r="K23" s="65" t="str">
        <f>Computer!AC23</f>
        <v/>
      </c>
      <c r="L23" s="65" t="str">
        <f>PE!AC23</f>
        <v/>
      </c>
      <c r="M23" s="65" t="str">
        <f>'History 1'!AC23</f>
        <v/>
      </c>
      <c r="N23" s="65" t="str">
        <f>Russian!AC23</f>
        <v/>
      </c>
      <c r="O23" s="65" t="str">
        <f>Physics!AC23</f>
        <v/>
      </c>
      <c r="P23" s="65" t="str">
        <f>Chemistry!AC23</f>
        <v/>
      </c>
      <c r="Q23" s="64"/>
      <c r="R23" s="66" t="str">
        <f>IF(ISERROR(AVERAGE(E23:P23)),"",AVERAGE(E23:P23))</f>
        <v/>
      </c>
      <c r="S23" s="67" t="str">
        <f>IF(R23="",""," "&amp;INDEX(Results!$W$6:$W$18,MATCH(R23,Results!$V$6:$V$18,1)))</f>
        <v/>
      </c>
      <c r="T23" s="63"/>
    </row>
    <row r="24" spans="1:26" x14ac:dyDescent="0.2">
      <c r="A24" s="46"/>
      <c r="B24" s="63"/>
      <c r="C24" s="38" t="str">
        <f>IF(Info!B24="Atlar şu ýeri","",Info!B24)</f>
        <v>Kurbanow Wekil</v>
      </c>
      <c r="D24" s="64"/>
      <c r="E24" s="65" t="str">
        <f>'Turkmen Language'!AC24</f>
        <v/>
      </c>
      <c r="F24" s="65" t="str">
        <f>Literature!AC24</f>
        <v/>
      </c>
      <c r="G24" s="65" t="str">
        <f>English!AC24</f>
        <v/>
      </c>
      <c r="H24" s="65" t="str">
        <f>Algebra!AC24</f>
        <v/>
      </c>
      <c r="I24" s="65" t="str">
        <f>Geometry!AC24</f>
        <v/>
      </c>
      <c r="J24" s="65" t="str">
        <f>Biology!AC24</f>
        <v/>
      </c>
      <c r="K24" s="65" t="str">
        <f>Computer!AC24</f>
        <v/>
      </c>
      <c r="L24" s="65" t="str">
        <f>PE!AC24</f>
        <v/>
      </c>
      <c r="M24" s="65" t="str">
        <f>'History 1'!AC24</f>
        <v/>
      </c>
      <c r="N24" s="65" t="str">
        <f>Russian!AC24</f>
        <v/>
      </c>
      <c r="O24" s="65" t="str">
        <f>Physics!AC24</f>
        <v/>
      </c>
      <c r="P24" s="65" t="str">
        <f>Chemistry!AC24</f>
        <v/>
      </c>
      <c r="Q24" s="64"/>
      <c r="R24" s="66" t="str">
        <f>IF(ISERROR(AVERAGE(E24:P24)),"",AVERAGE(E24:P24))</f>
        <v/>
      </c>
      <c r="S24" s="67" t="str">
        <f>IF(R24="",""," "&amp;INDEX(Results!$W$6:$W$18,MATCH(R24,Results!$V$6:$V$18,1)))</f>
        <v/>
      </c>
      <c r="T24" s="63"/>
    </row>
    <row r="25" spans="1:26" x14ac:dyDescent="0.2">
      <c r="A25" s="46"/>
      <c r="B25" s="63"/>
      <c r="C25" s="38" t="str">
        <f>IF(Info!B25="Atlar şu ýeri","",Info!B25)</f>
        <v>Madraimow Seidjan</v>
      </c>
      <c r="D25" s="64"/>
      <c r="E25" s="65" t="str">
        <f>'Turkmen Language'!AC25</f>
        <v/>
      </c>
      <c r="F25" s="65" t="str">
        <f>Literature!AC25</f>
        <v/>
      </c>
      <c r="G25" s="65" t="str">
        <f>English!AC25</f>
        <v/>
      </c>
      <c r="H25" s="65" t="str">
        <f>Algebra!AC25</f>
        <v/>
      </c>
      <c r="I25" s="65" t="str">
        <f>Geometry!AC25</f>
        <v/>
      </c>
      <c r="J25" s="65" t="str">
        <f>Biology!AC25</f>
        <v/>
      </c>
      <c r="K25" s="65" t="str">
        <f>Computer!AC25</f>
        <v/>
      </c>
      <c r="L25" s="65" t="str">
        <f>PE!AC25</f>
        <v/>
      </c>
      <c r="M25" s="65" t="str">
        <f>'History 1'!AC25</f>
        <v/>
      </c>
      <c r="N25" s="65" t="str">
        <f>Russian!AC25</f>
        <v/>
      </c>
      <c r="O25" s="65" t="str">
        <f>Physics!AC25</f>
        <v/>
      </c>
      <c r="P25" s="65" t="str">
        <f>Chemistry!AC25</f>
        <v/>
      </c>
      <c r="Q25" s="64"/>
      <c r="R25" s="66" t="str">
        <f>IF(ISERROR(AVERAGE(E25:P25)),"",AVERAGE(E25:P25))</f>
        <v/>
      </c>
      <c r="S25" s="67" t="str">
        <f>IF(R25="",""," "&amp;INDEX(Results!$W$6:$W$18,MATCH(R25,Results!$V$6:$V$18,1)))</f>
        <v/>
      </c>
      <c r="T25" s="63"/>
    </row>
    <row r="26" spans="1:26" x14ac:dyDescent="0.2">
      <c r="A26" s="46"/>
      <c r="B26" s="63"/>
      <c r="C26" s="38" t="str">
        <f>IF(Info!B26="Atlar şu ýeri","",Info!B26)</f>
        <v>Matmuradowa Gulnur</v>
      </c>
      <c r="D26" s="64"/>
      <c r="E26" s="65" t="str">
        <f>'Turkmen Language'!AC26</f>
        <v/>
      </c>
      <c r="F26" s="65" t="str">
        <f>Literature!AC26</f>
        <v/>
      </c>
      <c r="G26" s="65" t="str">
        <f>English!AC26</f>
        <v/>
      </c>
      <c r="H26" s="65" t="str">
        <f>Algebra!AC26</f>
        <v/>
      </c>
      <c r="I26" s="65" t="str">
        <f>Geometry!AC26</f>
        <v/>
      </c>
      <c r="J26" s="65" t="str">
        <f>Biology!AC26</f>
        <v/>
      </c>
      <c r="K26" s="65" t="str">
        <f>Computer!AC26</f>
        <v/>
      </c>
      <c r="L26" s="65" t="str">
        <f>PE!AC26</f>
        <v/>
      </c>
      <c r="M26" s="65" t="str">
        <f>'History 1'!AC26</f>
        <v/>
      </c>
      <c r="N26" s="65" t="str">
        <f>Russian!AC26</f>
        <v/>
      </c>
      <c r="O26" s="65" t="str">
        <f>Physics!AC26</f>
        <v/>
      </c>
      <c r="P26" s="65" t="str">
        <f>Chemistry!AC26</f>
        <v/>
      </c>
      <c r="Q26" s="64"/>
      <c r="R26" s="66" t="str">
        <f>IF(ISERROR(AVERAGE(E26:P26)),"",AVERAGE(E26:P26))</f>
        <v/>
      </c>
      <c r="S26" s="67" t="str">
        <f>IF(R26="",""," "&amp;INDEX(Results!$W$6:$W$18,MATCH(R26,Results!$V$6:$V$18,1)))</f>
        <v/>
      </c>
      <c r="T26" s="63"/>
    </row>
    <row r="27" spans="1:26" x14ac:dyDescent="0.2">
      <c r="A27" s="46"/>
      <c r="B27" s="63"/>
      <c r="C27" s="38" t="str">
        <f>IF(Info!B27="Atlar şu ýeri","",Info!B27)</f>
        <v>Myradowa Aýjahan</v>
      </c>
      <c r="D27" s="64"/>
      <c r="E27" s="65" t="str">
        <f>'Turkmen Language'!AC27</f>
        <v/>
      </c>
      <c r="F27" s="65" t="str">
        <f>Literature!AC27</f>
        <v/>
      </c>
      <c r="G27" s="65" t="str">
        <f>English!AC27</f>
        <v/>
      </c>
      <c r="H27" s="65" t="str">
        <f>Algebra!AC27</f>
        <v/>
      </c>
      <c r="I27" s="65" t="str">
        <f>Geometry!AC27</f>
        <v/>
      </c>
      <c r="J27" s="65" t="str">
        <f>Biology!AC27</f>
        <v/>
      </c>
      <c r="K27" s="65" t="str">
        <f>Computer!AC27</f>
        <v/>
      </c>
      <c r="L27" s="65" t="str">
        <f>PE!AC27</f>
        <v/>
      </c>
      <c r="M27" s="65" t="str">
        <f>'History 1'!AC27</f>
        <v/>
      </c>
      <c r="N27" s="65" t="str">
        <f>Russian!AC27</f>
        <v/>
      </c>
      <c r="O27" s="65" t="str">
        <f>Physics!AC27</f>
        <v/>
      </c>
      <c r="P27" s="65" t="str">
        <f>Chemistry!AC27</f>
        <v/>
      </c>
      <c r="Q27" s="64"/>
      <c r="R27" s="66" t="str">
        <f>IF(ISERROR(AVERAGE(E27:P27)),"",AVERAGE(E27:P27))</f>
        <v/>
      </c>
      <c r="S27" s="67" t="str">
        <f>IF(R27="",""," "&amp;INDEX(Results!$W$6:$W$18,MATCH(R27,Results!$V$6:$V$18,1)))</f>
        <v/>
      </c>
      <c r="T27" s="63"/>
    </row>
    <row r="28" spans="1:26" x14ac:dyDescent="0.2">
      <c r="A28" s="46"/>
      <c r="B28" s="63"/>
      <c r="C28" s="38" t="str">
        <f>IF(Info!B28="Atlar şu ýeri","",Info!B28)</f>
        <v>Osmanowa Ýyldyz</v>
      </c>
      <c r="D28" s="64"/>
      <c r="E28" s="65" t="str">
        <f>'Turkmen Language'!AC28</f>
        <v/>
      </c>
      <c r="F28" s="65" t="str">
        <f>Literature!AC28</f>
        <v/>
      </c>
      <c r="G28" s="65" t="str">
        <f>English!AC28</f>
        <v/>
      </c>
      <c r="H28" s="65" t="str">
        <f>Algebra!AC28</f>
        <v/>
      </c>
      <c r="I28" s="65" t="str">
        <f>Geometry!AC28</f>
        <v/>
      </c>
      <c r="J28" s="65" t="str">
        <f>Biology!AC28</f>
        <v/>
      </c>
      <c r="K28" s="65" t="str">
        <f>Computer!AC28</f>
        <v/>
      </c>
      <c r="L28" s="65" t="str">
        <f>PE!AC28</f>
        <v/>
      </c>
      <c r="M28" s="65" t="str">
        <f>'History 1'!AC28</f>
        <v/>
      </c>
      <c r="N28" s="65" t="str">
        <f>Russian!AC28</f>
        <v/>
      </c>
      <c r="O28" s="65" t="str">
        <f>Physics!AC28</f>
        <v/>
      </c>
      <c r="P28" s="65" t="str">
        <f>Chemistry!AC28</f>
        <v/>
      </c>
      <c r="Q28" s="64"/>
      <c r="R28" s="66" t="str">
        <f>IF(ISERROR(AVERAGE(E28:P28)),"",AVERAGE(E28:P28))</f>
        <v/>
      </c>
      <c r="S28" s="67" t="str">
        <f>IF(R28="",""," "&amp;INDEX(Results!$W$6:$W$18,MATCH(R28,Results!$V$6:$V$18,1)))</f>
        <v/>
      </c>
      <c r="T28" s="63"/>
    </row>
    <row r="29" spans="1:26" x14ac:dyDescent="0.2">
      <c r="A29" s="46"/>
      <c r="B29" s="63"/>
      <c r="C29" s="38" t="str">
        <f>IF(Info!B29="Atlar şu ýeri","",Info!B29)</f>
        <v>Orazowa Aýnur</v>
      </c>
      <c r="D29" s="64"/>
      <c r="E29" s="65" t="str">
        <f>'Turkmen Language'!AC29</f>
        <v/>
      </c>
      <c r="F29" s="65" t="str">
        <f>Literature!AC29</f>
        <v/>
      </c>
      <c r="G29" s="65" t="str">
        <f>English!AC29</f>
        <v/>
      </c>
      <c r="H29" s="65" t="str">
        <f>Algebra!AC29</f>
        <v/>
      </c>
      <c r="I29" s="65" t="str">
        <f>Geometry!AC29</f>
        <v/>
      </c>
      <c r="J29" s="65" t="str">
        <f>Biology!AC29</f>
        <v/>
      </c>
      <c r="K29" s="65" t="str">
        <f>Computer!AC29</f>
        <v/>
      </c>
      <c r="L29" s="65" t="str">
        <f>PE!AC29</f>
        <v/>
      </c>
      <c r="M29" s="65" t="str">
        <f>'History 1'!AC29</f>
        <v/>
      </c>
      <c r="N29" s="65" t="str">
        <f>Russian!AC29</f>
        <v/>
      </c>
      <c r="O29" s="65" t="str">
        <f>Physics!AC29</f>
        <v/>
      </c>
      <c r="P29" s="65" t="str">
        <f>Chemistry!AC29</f>
        <v/>
      </c>
      <c r="Q29" s="64"/>
      <c r="R29" s="66" t="str">
        <f>IF(ISERROR(AVERAGE(E29:P29)),"",AVERAGE(E29:P29))</f>
        <v/>
      </c>
      <c r="S29" s="67" t="str">
        <f>IF(R29="",""," "&amp;INDEX(Results!$W$6:$W$18,MATCH(R29,Results!$V$6:$V$18,1)))</f>
        <v/>
      </c>
      <c r="T29" s="63"/>
    </row>
    <row r="30" spans="1:26" x14ac:dyDescent="0.2">
      <c r="A30" s="46"/>
      <c r="B30" s="63"/>
      <c r="C30" s="38" t="str">
        <f>IF(Info!B30="Atlar şu ýeri","",Info!B30)</f>
        <v>Orunowa Aýjemal</v>
      </c>
      <c r="D30" s="64"/>
      <c r="E30" s="65" t="str">
        <f>'Turkmen Language'!AC30</f>
        <v/>
      </c>
      <c r="F30" s="65" t="str">
        <f>Literature!AC30</f>
        <v/>
      </c>
      <c r="G30" s="65" t="str">
        <f>English!AC30</f>
        <v/>
      </c>
      <c r="H30" s="65" t="str">
        <f>Algebra!AC30</f>
        <v/>
      </c>
      <c r="I30" s="65" t="str">
        <f>Geometry!AC30</f>
        <v/>
      </c>
      <c r="J30" s="65" t="str">
        <f>Biology!AC30</f>
        <v/>
      </c>
      <c r="K30" s="65" t="str">
        <f>Computer!AC30</f>
        <v/>
      </c>
      <c r="L30" s="65" t="str">
        <f>PE!AC30</f>
        <v/>
      </c>
      <c r="M30" s="65" t="str">
        <f>'History 1'!AC30</f>
        <v/>
      </c>
      <c r="N30" s="65" t="str">
        <f>Russian!AC30</f>
        <v/>
      </c>
      <c r="O30" s="65" t="str">
        <f>Physics!AC30</f>
        <v/>
      </c>
      <c r="P30" s="65" t="str">
        <f>Chemistry!AC30</f>
        <v/>
      </c>
      <c r="Q30" s="64"/>
      <c r="R30" s="66" t="str">
        <f>IF(ISERROR(AVERAGE(E30:P30)),"",AVERAGE(E30:P30))</f>
        <v/>
      </c>
      <c r="S30" s="67" t="str">
        <f>IF(R30="",""," "&amp;INDEX(Results!$W$6:$W$18,MATCH(R30,Results!$V$6:$V$18,1)))</f>
        <v/>
      </c>
      <c r="T30" s="63"/>
    </row>
    <row r="31" spans="1:26" x14ac:dyDescent="0.2">
      <c r="A31" s="46"/>
      <c r="B31" s="63"/>
      <c r="C31" s="38" t="str">
        <f>IF(Info!B31="Atlar şu ýeri","",Info!B31)</f>
        <v>Öwezow Döwlet</v>
      </c>
      <c r="D31" s="64"/>
      <c r="E31" s="65" t="str">
        <f>'Turkmen Language'!AC31</f>
        <v/>
      </c>
      <c r="F31" s="65" t="str">
        <f>Literature!AC31</f>
        <v/>
      </c>
      <c r="G31" s="65" t="str">
        <f>English!AC31</f>
        <v/>
      </c>
      <c r="H31" s="65" t="str">
        <f>Algebra!AC31</f>
        <v/>
      </c>
      <c r="I31" s="65" t="str">
        <f>Geometry!AC31</f>
        <v/>
      </c>
      <c r="J31" s="65" t="str">
        <f>Biology!AC31</f>
        <v/>
      </c>
      <c r="K31" s="65" t="str">
        <f>Computer!AC31</f>
        <v/>
      </c>
      <c r="L31" s="65" t="str">
        <f>PE!AC31</f>
        <v/>
      </c>
      <c r="M31" s="65" t="str">
        <f>'History 1'!AC31</f>
        <v/>
      </c>
      <c r="N31" s="65" t="str">
        <f>Russian!AC31</f>
        <v/>
      </c>
      <c r="O31" s="65" t="str">
        <f>Physics!AC31</f>
        <v/>
      </c>
      <c r="P31" s="65" t="str">
        <f>Chemistry!AC31</f>
        <v/>
      </c>
      <c r="Q31" s="64"/>
      <c r="R31" s="66" t="str">
        <f>IF(ISERROR(AVERAGE(E31:P31)),"",AVERAGE(E31:P31))</f>
        <v/>
      </c>
      <c r="S31" s="67" t="str">
        <f>IF(R31="",""," "&amp;INDEX(Results!$W$6:$W$18,MATCH(R31,Results!$V$6:$V$18,1)))</f>
        <v/>
      </c>
      <c r="T31" s="63"/>
    </row>
    <row r="32" spans="1:26" x14ac:dyDescent="0.2">
      <c r="A32" s="46"/>
      <c r="B32" s="63"/>
      <c r="C32" s="38" t="str">
        <f>IF(Info!B32="Atlar şu ýeri","",Info!B32)</f>
        <v>Piriýew Aýhan</v>
      </c>
      <c r="D32" s="64"/>
      <c r="E32" s="65" t="str">
        <f>'Turkmen Language'!AC32</f>
        <v/>
      </c>
      <c r="F32" s="65" t="str">
        <f>Literature!AC32</f>
        <v/>
      </c>
      <c r="G32" s="65" t="str">
        <f>English!AC32</f>
        <v/>
      </c>
      <c r="H32" s="65" t="str">
        <f>Algebra!AC32</f>
        <v/>
      </c>
      <c r="I32" s="65" t="str">
        <f>Geometry!AC32</f>
        <v/>
      </c>
      <c r="J32" s="65" t="str">
        <f>Biology!AC32</f>
        <v/>
      </c>
      <c r="K32" s="65" t="str">
        <f>Computer!AC32</f>
        <v/>
      </c>
      <c r="L32" s="65" t="str">
        <f>PE!AC32</f>
        <v/>
      </c>
      <c r="M32" s="65" t="str">
        <f>'History 1'!AC32</f>
        <v/>
      </c>
      <c r="N32" s="65" t="str">
        <f>Russian!AC32</f>
        <v/>
      </c>
      <c r="O32" s="65" t="str">
        <f>Physics!AC32</f>
        <v/>
      </c>
      <c r="P32" s="65" t="str">
        <f>Chemistry!AC32</f>
        <v/>
      </c>
      <c r="Q32" s="64"/>
      <c r="R32" s="66" t="str">
        <f>IF(ISERROR(AVERAGE(E32:P32)),"",AVERAGE(E32:P32))</f>
        <v/>
      </c>
      <c r="S32" s="67" t="str">
        <f>IF(R32="",""," "&amp;INDEX(Results!$W$6:$W$18,MATCH(R32,Results!$V$6:$V$18,1)))</f>
        <v/>
      </c>
      <c r="T32" s="63"/>
    </row>
    <row r="33" spans="1:20" x14ac:dyDescent="0.2">
      <c r="A33" s="46"/>
      <c r="B33" s="63"/>
      <c r="C33" s="38" t="str">
        <f>IF(Info!B33="Atlar şu ýeri","",Info!B33)</f>
        <v>Taganow Sanjar</v>
      </c>
      <c r="D33" s="64"/>
      <c r="E33" s="65" t="str">
        <f>'Turkmen Language'!AC33</f>
        <v/>
      </c>
      <c r="F33" s="65" t="str">
        <f>Literature!AC33</f>
        <v/>
      </c>
      <c r="G33" s="65" t="str">
        <f>English!AC33</f>
        <v/>
      </c>
      <c r="H33" s="65" t="str">
        <f>Algebra!AC33</f>
        <v/>
      </c>
      <c r="I33" s="65" t="str">
        <f>Geometry!AC33</f>
        <v/>
      </c>
      <c r="J33" s="65" t="str">
        <f>Biology!AC33</f>
        <v/>
      </c>
      <c r="K33" s="65" t="str">
        <f>Computer!AC33</f>
        <v/>
      </c>
      <c r="L33" s="65" t="str">
        <f>PE!AC33</f>
        <v/>
      </c>
      <c r="M33" s="65" t="str">
        <f>'History 1'!AC33</f>
        <v/>
      </c>
      <c r="N33" s="65" t="str">
        <f>Russian!AC33</f>
        <v/>
      </c>
      <c r="O33" s="65" t="str">
        <f>Physics!AC33</f>
        <v/>
      </c>
      <c r="P33" s="65" t="str">
        <f>Chemistry!AC33</f>
        <v/>
      </c>
      <c r="Q33" s="64"/>
      <c r="R33" s="66" t="str">
        <f>IF(ISERROR(AVERAGE(E33:P33)),"",AVERAGE(E33:P33))</f>
        <v/>
      </c>
      <c r="S33" s="67" t="str">
        <f>IF(R33="",""," "&amp;INDEX(Results!$W$6:$W$18,MATCH(R33,Results!$V$6:$V$18,1)))</f>
        <v/>
      </c>
      <c r="T33" s="63"/>
    </row>
    <row r="34" spans="1:20" x14ac:dyDescent="0.2">
      <c r="A34" s="46"/>
      <c r="B34" s="63"/>
      <c r="C34" s="38" t="str">
        <f>IF(Info!B34="Atlar şu ýeri","",Info!B34)</f>
        <v>Weliýew Öwez</v>
      </c>
      <c r="D34" s="64"/>
      <c r="E34" s="65" t="str">
        <f>'Turkmen Language'!AC34</f>
        <v/>
      </c>
      <c r="F34" s="65" t="str">
        <f>Literature!AC34</f>
        <v/>
      </c>
      <c r="G34" s="65" t="str">
        <f>English!AC34</f>
        <v/>
      </c>
      <c r="H34" s="65" t="str">
        <f>Algebra!AC34</f>
        <v/>
      </c>
      <c r="I34" s="65" t="str">
        <f>Geometry!AC34</f>
        <v/>
      </c>
      <c r="J34" s="65" t="str">
        <f>Biology!AC34</f>
        <v/>
      </c>
      <c r="K34" s="65" t="str">
        <f>Computer!AC34</f>
        <v/>
      </c>
      <c r="L34" s="65" t="str">
        <f>PE!AC34</f>
        <v/>
      </c>
      <c r="M34" s="65" t="str">
        <f>'History 1'!AC34</f>
        <v/>
      </c>
      <c r="N34" s="65" t="str">
        <f>Russian!AC34</f>
        <v/>
      </c>
      <c r="O34" s="65" t="str">
        <f>Physics!AC34</f>
        <v/>
      </c>
      <c r="P34" s="65" t="str">
        <f>Chemistry!AC34</f>
        <v/>
      </c>
      <c r="Q34" s="64"/>
      <c r="R34" s="66" t="str">
        <f>IF(ISERROR(AVERAGE(E34:P34)),"",AVERAGE(E34:P34))</f>
        <v/>
      </c>
      <c r="S34" s="67" t="str">
        <f>IF(R34="",""," "&amp;INDEX(Results!$W$6:$W$18,MATCH(R34,Results!$V$6:$V$18,1)))</f>
        <v/>
      </c>
      <c r="T34" s="63"/>
    </row>
    <row r="35" spans="1:20" x14ac:dyDescent="0.2">
      <c r="A35" s="46"/>
      <c r="B35" s="63"/>
      <c r="C35" s="38" t="str">
        <f>IF(Info!B35="Atlar şu ýeri","",Info!B35)</f>
        <v>Ýagşybaýew Muhammet</v>
      </c>
      <c r="D35" s="64"/>
      <c r="E35" s="65" t="str">
        <f>'Turkmen Language'!AC35</f>
        <v/>
      </c>
      <c r="F35" s="65" t="str">
        <f>Literature!AC35</f>
        <v/>
      </c>
      <c r="G35" s="65" t="str">
        <f>English!AC35</f>
        <v/>
      </c>
      <c r="H35" s="65" t="str">
        <f>Algebra!AC35</f>
        <v/>
      </c>
      <c r="I35" s="65" t="str">
        <f>Geometry!AC35</f>
        <v/>
      </c>
      <c r="J35" s="65" t="str">
        <f>Biology!AC35</f>
        <v/>
      </c>
      <c r="K35" s="65" t="str">
        <f>Computer!AC35</f>
        <v/>
      </c>
      <c r="L35" s="65" t="str">
        <f>PE!AC35</f>
        <v/>
      </c>
      <c r="M35" s="65" t="str">
        <f>'History 1'!AC35</f>
        <v/>
      </c>
      <c r="N35" s="65" t="str">
        <f>Russian!AC35</f>
        <v/>
      </c>
      <c r="O35" s="65" t="str">
        <f>Physics!AC35</f>
        <v/>
      </c>
      <c r="P35" s="65" t="str">
        <f>Chemistry!AC35</f>
        <v/>
      </c>
      <c r="Q35" s="64"/>
      <c r="R35" s="66" t="str">
        <f>IF(ISERROR(AVERAGE(E35:P35)),"",AVERAGE(E35:P35))</f>
        <v/>
      </c>
      <c r="S35" s="67" t="str">
        <f>IF(R35="",""," "&amp;INDEX(Results!$W$6:$W$18,MATCH(R35,Results!$V$6:$V$18,1)))</f>
        <v/>
      </c>
      <c r="T35" s="63"/>
    </row>
    <row r="36" spans="1:20" x14ac:dyDescent="0.2">
      <c r="A36" s="46"/>
      <c r="B36" s="63"/>
      <c r="C36" s="38" t="str">
        <f>IF(Info!B36="Atlar şu ýeri","",Info!B36)</f>
        <v>Ýazberdiýewa Söýli</v>
      </c>
      <c r="D36" s="64"/>
      <c r="E36" s="65" t="str">
        <f>'Turkmen Language'!AC36</f>
        <v/>
      </c>
      <c r="F36" s="65" t="str">
        <f>Literature!AC36</f>
        <v/>
      </c>
      <c r="G36" s="65" t="str">
        <f>English!AC36</f>
        <v/>
      </c>
      <c r="H36" s="65" t="str">
        <f>Algebra!AC36</f>
        <v/>
      </c>
      <c r="I36" s="65" t="str">
        <f>Geometry!AC36</f>
        <v/>
      </c>
      <c r="J36" s="65" t="str">
        <f>Biology!AC36</f>
        <v/>
      </c>
      <c r="K36" s="65" t="str">
        <f>Computer!AC36</f>
        <v/>
      </c>
      <c r="L36" s="65" t="str">
        <f>PE!AC36</f>
        <v/>
      </c>
      <c r="M36" s="65" t="str">
        <f>'History 1'!AC36</f>
        <v/>
      </c>
      <c r="N36" s="65" t="str">
        <f>Russian!AC36</f>
        <v/>
      </c>
      <c r="O36" s="65" t="str">
        <f>Physics!AC36</f>
        <v/>
      </c>
      <c r="P36" s="65" t="str">
        <f>Chemistry!AC36</f>
        <v/>
      </c>
      <c r="Q36" s="64"/>
      <c r="R36" s="66" t="str">
        <f>IF(ISERROR(AVERAGE(E36:P36)),"",AVERAGE(E36:P36))</f>
        <v/>
      </c>
      <c r="S36" s="67" t="str">
        <f>IF(R36="",""," "&amp;INDEX(Results!$W$6:$W$18,MATCH(R36,Results!$V$6:$V$18,1)))</f>
        <v/>
      </c>
      <c r="T36" s="63"/>
    </row>
    <row r="37" spans="1:20" x14ac:dyDescent="0.2">
      <c r="A37" s="46"/>
      <c r="B37" s="63"/>
      <c r="C37" s="38" t="str">
        <f>IF(Info!B37="Atlar şu ýeri","",Info!B37)</f>
        <v>Ýazyýewa Meňli</v>
      </c>
      <c r="D37" s="64"/>
      <c r="E37" s="65" t="str">
        <f>'Turkmen Language'!AC37</f>
        <v/>
      </c>
      <c r="F37" s="65" t="str">
        <f>Literature!AC37</f>
        <v/>
      </c>
      <c r="G37" s="65" t="str">
        <f>English!AC37</f>
        <v/>
      </c>
      <c r="H37" s="65" t="str">
        <f>Algebra!AC37</f>
        <v/>
      </c>
      <c r="I37" s="65" t="str">
        <f>Geometry!AC37</f>
        <v/>
      </c>
      <c r="J37" s="65" t="str">
        <f>Biology!AC37</f>
        <v/>
      </c>
      <c r="K37" s="65" t="str">
        <f>Computer!AC37</f>
        <v/>
      </c>
      <c r="L37" s="65" t="str">
        <f>PE!AC37</f>
        <v/>
      </c>
      <c r="M37" s="65" t="str">
        <f>'History 1'!AC37</f>
        <v/>
      </c>
      <c r="N37" s="65" t="str">
        <f>Russian!AC37</f>
        <v/>
      </c>
      <c r="O37" s="65" t="str">
        <f>Physics!AC37</f>
        <v/>
      </c>
      <c r="P37" s="65" t="str">
        <f>Chemistry!AC37</f>
        <v/>
      </c>
      <c r="Q37" s="64"/>
      <c r="R37" s="66" t="str">
        <f>IF(ISERROR(AVERAGE(E37:P37)),"",AVERAGE(E37:P37))</f>
        <v/>
      </c>
      <c r="S37" s="67" t="str">
        <f>IF(R37="",""," "&amp;INDEX(Results!$W$6:$W$18,MATCH(R37,Results!$V$6:$V$18,1)))</f>
        <v/>
      </c>
      <c r="T37" s="63"/>
    </row>
    <row r="38" spans="1:20" x14ac:dyDescent="0.2">
      <c r="A38" s="46"/>
      <c r="B38" s="63"/>
      <c r="C38" s="38" t="str">
        <f>IF(Info!B38="Atlar şu ýeri","",Info!B38)</f>
        <v>Ýunusow Ýunus</v>
      </c>
      <c r="D38" s="64"/>
      <c r="E38" s="65" t="str">
        <f>'Turkmen Language'!AC38</f>
        <v/>
      </c>
      <c r="F38" s="65" t="str">
        <f>Literature!AC38</f>
        <v/>
      </c>
      <c r="G38" s="65" t="str">
        <f>English!AC38</f>
        <v/>
      </c>
      <c r="H38" s="65" t="str">
        <f>Algebra!AC38</f>
        <v/>
      </c>
      <c r="I38" s="65" t="str">
        <f>Geometry!AC38</f>
        <v/>
      </c>
      <c r="J38" s="65" t="str">
        <f>Biology!AC38</f>
        <v/>
      </c>
      <c r="K38" s="65" t="str">
        <f>Computer!AC38</f>
        <v/>
      </c>
      <c r="L38" s="65" t="str">
        <f>PE!AC38</f>
        <v/>
      </c>
      <c r="M38" s="65" t="str">
        <f>'History 1'!AC38</f>
        <v/>
      </c>
      <c r="N38" s="65" t="str">
        <f>Russian!AC38</f>
        <v/>
      </c>
      <c r="O38" s="65" t="str">
        <f>Physics!AC38</f>
        <v/>
      </c>
      <c r="P38" s="65" t="str">
        <f>Chemistry!AC38</f>
        <v/>
      </c>
      <c r="Q38" s="64"/>
      <c r="R38" s="66" t="str">
        <f>IF(ISERROR(AVERAGE(E38:P38)),"",AVERAGE(E38:P38))</f>
        <v/>
      </c>
      <c r="S38" s="67" t="str">
        <f>IF(R38="",""," "&amp;INDEX(Results!$W$6:$W$18,MATCH(R38,Results!$V$6:$V$18,1)))</f>
        <v/>
      </c>
      <c r="T38" s="63"/>
    </row>
    <row r="39" spans="1:20" x14ac:dyDescent="0.2">
      <c r="A39" s="46"/>
      <c r="B39" s="63"/>
      <c r="C39" s="38" t="str">
        <f>IF(Info!B39="Atlar şu ýeri","",Info!B39)</f>
        <v>Ýusupowa  Jahan</v>
      </c>
      <c r="D39" s="64"/>
      <c r="E39" s="65" t="str">
        <f>'Turkmen Language'!AC39</f>
        <v/>
      </c>
      <c r="F39" s="65" t="str">
        <f>Literature!AC39</f>
        <v/>
      </c>
      <c r="G39" s="65" t="str">
        <f>English!AC39</f>
        <v/>
      </c>
      <c r="H39" s="65" t="str">
        <f>Algebra!AC39</f>
        <v/>
      </c>
      <c r="I39" s="65" t="str">
        <f>Geometry!AC39</f>
        <v/>
      </c>
      <c r="J39" s="65" t="str">
        <f>Biology!AC39</f>
        <v/>
      </c>
      <c r="K39" s="65" t="str">
        <f>Computer!AC39</f>
        <v/>
      </c>
      <c r="L39" s="65" t="str">
        <f>PE!AC39</f>
        <v/>
      </c>
      <c r="M39" s="65" t="str">
        <f>'History 1'!AC39</f>
        <v/>
      </c>
      <c r="N39" s="65" t="str">
        <f>Russian!AC39</f>
        <v/>
      </c>
      <c r="O39" s="65" t="str">
        <f>Physics!AC39</f>
        <v/>
      </c>
      <c r="P39" s="65" t="str">
        <f>Chemistry!AC39</f>
        <v/>
      </c>
      <c r="Q39" s="64"/>
      <c r="R39" s="66" t="str">
        <f>IF(ISERROR(AVERAGE(E39:P39)),"",AVERAGE(E39:P39))</f>
        <v/>
      </c>
      <c r="S39" s="67" t="str">
        <f>IF(R39="",""," "&amp;INDEX(Results!$W$6:$W$18,MATCH(R39,Results!$V$6:$V$18,1)))</f>
        <v/>
      </c>
      <c r="T39" s="63"/>
    </row>
    <row r="40" spans="1:20" x14ac:dyDescent="0.2">
      <c r="A40" s="46"/>
      <c r="B40" s="63"/>
      <c r="C40" s="38" t="str">
        <f>IF(Info!B40="Atlar şu ýeri","",Info!B40)</f>
        <v/>
      </c>
      <c r="D40" s="64"/>
      <c r="E40" s="65" t="str">
        <f>'Turkmen Language'!AC40</f>
        <v/>
      </c>
      <c r="F40" s="65" t="str">
        <f>Literature!AC40</f>
        <v/>
      </c>
      <c r="G40" s="65" t="str">
        <f>English!AC40</f>
        <v/>
      </c>
      <c r="H40" s="65" t="str">
        <f>Algebra!AC40</f>
        <v/>
      </c>
      <c r="I40" s="65" t="str">
        <f>Geometry!AC40</f>
        <v/>
      </c>
      <c r="J40" s="65" t="str">
        <f>Biology!AC40</f>
        <v/>
      </c>
      <c r="K40" s="65" t="str">
        <f>Computer!AC40</f>
        <v/>
      </c>
      <c r="L40" s="65" t="str">
        <f>PE!AC40</f>
        <v/>
      </c>
      <c r="M40" s="65" t="str">
        <f>'History 1'!AC40</f>
        <v/>
      </c>
      <c r="N40" s="65" t="str">
        <f>Russian!AC40</f>
        <v/>
      </c>
      <c r="O40" s="65" t="str">
        <f>Physics!AC40</f>
        <v/>
      </c>
      <c r="P40" s="65" t="str">
        <f>Chemistry!AC40</f>
        <v/>
      </c>
      <c r="Q40" s="64"/>
      <c r="R40" s="66" t="str">
        <f>IF(ISERROR(AVERAGE(E40:P40)),"",AVERAGE(E40:P40))</f>
        <v/>
      </c>
      <c r="S40" s="67" t="str">
        <f>IF(R40="",""," "&amp;INDEX(Results!$W$6:$W$18,MATCH(R40,Results!$V$6:$V$18,1)))</f>
        <v/>
      </c>
      <c r="T40" s="63"/>
    </row>
    <row r="41" spans="1:20" x14ac:dyDescent="0.2">
      <c r="A41" s="46"/>
      <c r="B41" s="63"/>
      <c r="C41" s="38" t="str">
        <f>IF(Info!B41="Atlar şu ýeri","",Info!B41)</f>
        <v/>
      </c>
      <c r="D41" s="64"/>
      <c r="E41" s="65" t="str">
        <f>'Turkmen Language'!AC41</f>
        <v/>
      </c>
      <c r="F41" s="65" t="str">
        <f>Literature!AC41</f>
        <v/>
      </c>
      <c r="G41" s="65" t="str">
        <f>English!AC41</f>
        <v/>
      </c>
      <c r="H41" s="65" t="str">
        <f>Algebra!AC41</f>
        <v/>
      </c>
      <c r="I41" s="65" t="str">
        <f>Geometry!AC41</f>
        <v/>
      </c>
      <c r="J41" s="65" t="str">
        <f>Biology!AC41</f>
        <v/>
      </c>
      <c r="K41" s="65" t="str">
        <f>Computer!AC41</f>
        <v/>
      </c>
      <c r="L41" s="65" t="str">
        <f>PE!AC41</f>
        <v/>
      </c>
      <c r="M41" s="65" t="str">
        <f>'History 1'!AC41</f>
        <v/>
      </c>
      <c r="N41" s="65" t="str">
        <f>Russian!AC41</f>
        <v/>
      </c>
      <c r="O41" s="65" t="str">
        <f>Physics!AC41</f>
        <v/>
      </c>
      <c r="P41" s="65" t="str">
        <f>Chemistry!AC41</f>
        <v/>
      </c>
      <c r="Q41" s="64"/>
      <c r="R41" s="66" t="str">
        <f>IF(ISERROR(AVERAGE(E41:P41)),"",AVERAGE(E41:P41))</f>
        <v/>
      </c>
      <c r="S41" s="67" t="str">
        <f>IF(R41="",""," "&amp;INDEX(Results!$W$6:$W$18,MATCH(R41,Results!$V$6:$V$18,1)))</f>
        <v/>
      </c>
      <c r="T41" s="63"/>
    </row>
    <row r="42" spans="1:20" x14ac:dyDescent="0.2">
      <c r="A42" s="46"/>
      <c r="B42" s="63"/>
      <c r="C42" s="38" t="str">
        <f>IF(Info!B42="Atlar şu ýeri","",Info!B42)</f>
        <v/>
      </c>
      <c r="D42" s="64"/>
      <c r="E42" s="65" t="str">
        <f>'Turkmen Language'!AC42</f>
        <v/>
      </c>
      <c r="F42" s="65" t="str">
        <f>Literature!AC42</f>
        <v/>
      </c>
      <c r="G42" s="65" t="str">
        <f>English!AC42</f>
        <v/>
      </c>
      <c r="H42" s="65" t="str">
        <f>Algebra!AC42</f>
        <v/>
      </c>
      <c r="I42" s="65" t="str">
        <f>Geometry!AC42</f>
        <v/>
      </c>
      <c r="J42" s="65" t="str">
        <f>Biology!AC42</f>
        <v/>
      </c>
      <c r="K42" s="65" t="str">
        <f>Computer!AC42</f>
        <v/>
      </c>
      <c r="L42" s="65" t="str">
        <f>PE!AC42</f>
        <v/>
      </c>
      <c r="M42" s="65" t="str">
        <f>'History 1'!AC42</f>
        <v/>
      </c>
      <c r="N42" s="65" t="str">
        <f>Russian!AC42</f>
        <v/>
      </c>
      <c r="O42" s="65" t="str">
        <f>Physics!AC42</f>
        <v/>
      </c>
      <c r="P42" s="65" t="str">
        <f>Chemistry!AC42</f>
        <v/>
      </c>
      <c r="Q42" s="64"/>
      <c r="R42" s="66" t="str">
        <f>IF(ISERROR(AVERAGE(E42:P42)),"",AVERAGE(E42:P42))</f>
        <v/>
      </c>
      <c r="S42" s="67" t="str">
        <f>IF(R42="",""," "&amp;INDEX(Results!$W$6:$W$18,MATCH(R42,Results!$V$6:$V$18,1)))</f>
        <v/>
      </c>
      <c r="T42" s="63"/>
    </row>
    <row r="43" spans="1:20" x14ac:dyDescent="0.2">
      <c r="A43" s="46"/>
      <c r="B43" s="63"/>
      <c r="C43" s="38" t="str">
        <f>IF(Info!B43="Atlar şu ýeri","",Info!B43)</f>
        <v/>
      </c>
      <c r="D43" s="64"/>
      <c r="E43" s="65" t="str">
        <f>'Turkmen Language'!AC43</f>
        <v/>
      </c>
      <c r="F43" s="65" t="str">
        <f>Literature!AC43</f>
        <v/>
      </c>
      <c r="G43" s="65" t="str">
        <f>English!AC43</f>
        <v/>
      </c>
      <c r="H43" s="65" t="str">
        <f>Algebra!AC43</f>
        <v/>
      </c>
      <c r="I43" s="65" t="str">
        <f>Geometry!AC43</f>
        <v/>
      </c>
      <c r="J43" s="65" t="str">
        <f>Biology!AC43</f>
        <v/>
      </c>
      <c r="K43" s="65" t="str">
        <f>Computer!AC43</f>
        <v/>
      </c>
      <c r="L43" s="65" t="str">
        <f>PE!AC43</f>
        <v/>
      </c>
      <c r="M43" s="65" t="str">
        <f>'History 1'!AC43</f>
        <v/>
      </c>
      <c r="N43" s="65" t="str">
        <f>Russian!AC43</f>
        <v/>
      </c>
      <c r="O43" s="65" t="str">
        <f>Physics!AC43</f>
        <v/>
      </c>
      <c r="P43" s="65" t="str">
        <f>Chemistry!AC43</f>
        <v/>
      </c>
      <c r="Q43" s="64"/>
      <c r="R43" s="66" t="str">
        <f>IF(ISERROR(AVERAGE(E43:P43)),"",AVERAGE(E43:P43))</f>
        <v/>
      </c>
      <c r="S43" s="67" t="str">
        <f>IF(R43="",""," "&amp;INDEX(Results!$W$6:$W$18,MATCH(R43,Results!$V$6:$V$18,1)))</f>
        <v/>
      </c>
      <c r="T43" s="63"/>
    </row>
    <row r="44" spans="1:20" x14ac:dyDescent="0.2">
      <c r="A44" s="46"/>
      <c r="B44" s="63"/>
      <c r="C44" s="38" t="str">
        <f>IF(Info!B44="Atlar şu ýeri","",Info!B44)</f>
        <v/>
      </c>
      <c r="D44" s="64"/>
      <c r="E44" s="65" t="str">
        <f>'Turkmen Language'!AC44</f>
        <v/>
      </c>
      <c r="F44" s="65" t="str">
        <f>Literature!AC44</f>
        <v/>
      </c>
      <c r="G44" s="65" t="str">
        <f>English!AC44</f>
        <v/>
      </c>
      <c r="H44" s="65" t="str">
        <f>Algebra!AC44</f>
        <v/>
      </c>
      <c r="I44" s="65" t="str">
        <f>Geometry!AC44</f>
        <v/>
      </c>
      <c r="J44" s="65" t="str">
        <f>Biology!AC44</f>
        <v/>
      </c>
      <c r="K44" s="65" t="str">
        <f>Computer!AC44</f>
        <v/>
      </c>
      <c r="L44" s="65" t="str">
        <f>PE!AC44</f>
        <v/>
      </c>
      <c r="M44" s="65" t="str">
        <f>'History 1'!AC44</f>
        <v/>
      </c>
      <c r="N44" s="65" t="str">
        <f>Russian!AC44</f>
        <v/>
      </c>
      <c r="O44" s="65" t="str">
        <f>Physics!AC44</f>
        <v/>
      </c>
      <c r="P44" s="65" t="str">
        <f>Chemistry!AC44</f>
        <v/>
      </c>
      <c r="Q44" s="64"/>
      <c r="R44" s="66" t="str">
        <f>IF(ISERROR(AVERAGE(E44:P44)),"",AVERAGE(E44:P44))</f>
        <v/>
      </c>
      <c r="S44" s="67" t="str">
        <f>IF(R44="",""," "&amp;INDEX(Results!$W$6:$W$18,MATCH(R44,Results!$V$6:$V$18,1)))</f>
        <v/>
      </c>
      <c r="T44" s="63"/>
    </row>
    <row r="45" spans="1:20" x14ac:dyDescent="0.2">
      <c r="A45" s="46"/>
      <c r="B45" s="63"/>
      <c r="C45" s="38" t="str">
        <f>IF(Info!B45="Atlar şu ýeri","",Info!B45)</f>
        <v/>
      </c>
      <c r="D45" s="64"/>
      <c r="E45" s="65" t="str">
        <f>'Turkmen Language'!AC45</f>
        <v/>
      </c>
      <c r="F45" s="65" t="str">
        <f>Literature!AC45</f>
        <v/>
      </c>
      <c r="G45" s="65" t="str">
        <f>English!AC45</f>
        <v/>
      </c>
      <c r="H45" s="65" t="str">
        <f>Algebra!AC45</f>
        <v/>
      </c>
      <c r="I45" s="65" t="str">
        <f>Geometry!AC45</f>
        <v/>
      </c>
      <c r="J45" s="65" t="str">
        <f>Biology!AC45</f>
        <v/>
      </c>
      <c r="K45" s="65" t="str">
        <f>Computer!AC45</f>
        <v/>
      </c>
      <c r="L45" s="65" t="str">
        <f>PE!AC45</f>
        <v/>
      </c>
      <c r="M45" s="65" t="str">
        <f>'History 1'!AC45</f>
        <v/>
      </c>
      <c r="N45" s="65" t="str">
        <f>Russian!AC45</f>
        <v/>
      </c>
      <c r="O45" s="65" t="str">
        <f>Physics!AC45</f>
        <v/>
      </c>
      <c r="P45" s="65" t="str">
        <f>Chemistry!AC45</f>
        <v/>
      </c>
      <c r="Q45" s="64"/>
      <c r="R45" s="66" t="str">
        <f>IF(ISERROR(AVERAGE(E45:P45)),"",AVERAGE(E45:P45))</f>
        <v/>
      </c>
      <c r="S45" s="67" t="str">
        <f>IF(R45="",""," "&amp;INDEX(Results!$W$6:$W$18,MATCH(R45,Results!$V$6:$V$18,1)))</f>
        <v/>
      </c>
      <c r="T45" s="63"/>
    </row>
    <row r="46" spans="1:20" ht="4.5" customHeight="1" x14ac:dyDescent="0.2">
      <c r="B46" s="54"/>
      <c r="C46" s="76"/>
      <c r="D46" s="77"/>
      <c r="E46" s="78"/>
      <c r="F46" s="78"/>
      <c r="G46" s="79"/>
      <c r="H46" s="80"/>
      <c r="I46" s="80"/>
      <c r="J46" s="79"/>
      <c r="K46" s="79"/>
      <c r="L46" s="79"/>
      <c r="M46" s="79"/>
      <c r="N46" s="79"/>
      <c r="O46" s="80"/>
      <c r="P46" s="80"/>
      <c r="Q46" s="80"/>
      <c r="R46" s="80"/>
      <c r="S46" s="80"/>
      <c r="T46" s="59"/>
    </row>
    <row r="47" spans="1:20" x14ac:dyDescent="0.2">
      <c r="B47" s="47"/>
      <c r="C47" s="81"/>
      <c r="D47" s="81"/>
      <c r="E47" s="82"/>
      <c r="F47" s="82"/>
      <c r="G47" s="83"/>
      <c r="H47" s="84"/>
      <c r="I47" s="84"/>
      <c r="J47" s="83"/>
      <c r="K47" s="83"/>
      <c r="L47" s="83"/>
      <c r="M47" s="83"/>
      <c r="N47" s="83"/>
      <c r="O47" s="84"/>
      <c r="P47" s="84"/>
      <c r="Q47" s="84"/>
      <c r="R47" s="84"/>
      <c r="S47" s="84"/>
      <c r="T47" s="51"/>
    </row>
  </sheetData>
  <mergeCells count="1">
    <mergeCell ref="X4:Y4"/>
  </mergeCell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3"/>
  <sheetViews>
    <sheetView workbookViewId="0">
      <selection activeCell="A2" sqref="A2"/>
    </sheetView>
  </sheetViews>
  <sheetFormatPr defaultRowHeight="12.75" x14ac:dyDescent="0.2"/>
  <cols>
    <col min="1" max="1" width="28.140625" customWidth="1"/>
  </cols>
  <sheetData>
    <row r="1" spans="1:1" ht="45.75" customHeight="1" x14ac:dyDescent="0.2">
      <c r="A1" s="95" t="s">
        <v>172</v>
      </c>
    </row>
    <row r="2" spans="1:1" x14ac:dyDescent="0.2">
      <c r="A2" t="s">
        <v>171</v>
      </c>
    </row>
    <row r="3" spans="1:1" x14ac:dyDescent="0.2">
      <c r="A3" t="s">
        <v>121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Info</vt:lpstr>
      <vt:lpstr>Turkmen Language</vt:lpstr>
      <vt:lpstr>Turkmen Language2</vt:lpstr>
      <vt:lpstr>Literature</vt:lpstr>
      <vt:lpstr>Literature2</vt:lpstr>
      <vt:lpstr>Algebra</vt:lpstr>
      <vt:lpstr>Algebra (2)</vt:lpstr>
      <vt:lpstr>English</vt:lpstr>
      <vt:lpstr>English (2)</vt:lpstr>
      <vt:lpstr>Geometry</vt:lpstr>
      <vt:lpstr>Geometry (2)</vt:lpstr>
      <vt:lpstr>Biology</vt:lpstr>
      <vt:lpstr>Biology (2)</vt:lpstr>
      <vt:lpstr>Physics</vt:lpstr>
      <vt:lpstr>Physics (2)</vt:lpstr>
      <vt:lpstr>Chemistry</vt:lpstr>
      <vt:lpstr>Chemistry  (2)</vt:lpstr>
      <vt:lpstr>History 1</vt:lpstr>
      <vt:lpstr>History (2)</vt:lpstr>
      <vt:lpstr>Russian</vt:lpstr>
      <vt:lpstr>Russian (2)</vt:lpstr>
      <vt:lpstr>Computer</vt:lpstr>
      <vt:lpstr>Computer (2)</vt:lpstr>
      <vt:lpstr>ÝDE (2)</vt:lpstr>
      <vt:lpstr>PE</vt:lpstr>
      <vt:lpstr>PE (2)</vt:lpstr>
      <vt:lpstr>Zähmet (2)</vt:lpstr>
      <vt:lpstr>Çyzuw (2)</vt:lpstr>
      <vt:lpstr>Results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Auudov Aymyrat</dc:creator>
  <cp:lastModifiedBy>Auudov Aymyrat</cp:lastModifiedBy>
  <dcterms:created xsi:type="dcterms:W3CDTF">2019-02-24T08:36:46Z</dcterms:created>
  <dcterms:modified xsi:type="dcterms:W3CDTF">2019-03-24T11:57:39Z</dcterms:modified>
</cp:coreProperties>
</file>